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a774e7213043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100_2026" sheetId="1" r:id="R3965485a49b54897"/>
    <x:sheet xmlns:r="http://schemas.openxmlformats.org/officeDocument/2006/relationships" name="History_2023_2026" sheetId="2" r:id="R529e837dd8174e06"/>
    <x:sheet xmlns:r="http://schemas.openxmlformats.org/officeDocument/2006/relationships" name="Revenue_Mix" sheetId="3" r:id="R0b858b6e5a09489b"/>
    <x:sheet xmlns:r="http://schemas.openxmlformats.org/officeDocument/2006/relationships" name="Expense_Mix" sheetId="4" r:id="R6c184d79ef384ca4"/>
    <x:sheet xmlns:r="http://schemas.openxmlformats.org/officeDocument/2006/relationships" name="Surplus_Carryover" sheetId="5" r:id="R4c0fb80e8ca54061"/>
    <x:sheet xmlns:r="http://schemas.openxmlformats.org/officeDocument/2006/relationships" name="Province_Summary" sheetId="6" r:id="R160ca9490410496b"/>
    <x:sheet xmlns:r="http://schemas.openxmlformats.org/officeDocument/2006/relationships" name="Accounting_Guide" sheetId="7" r:id="Rf8ec3d8d01a74d2b"/>
    <x:sheet xmlns:r="http://schemas.openxmlformats.org/officeDocument/2006/relationships" name="Sources" sheetId="8" r:id="Rdc46dcc5f9d64477"/>
    <x:sheet xmlns:r="http://schemas.openxmlformats.org/officeDocument/2006/relationships" name="Coverage" sheetId="9" r:id="R3cd4c4a4476e424e"/>
    <x:sheet xmlns:r="http://schemas.openxmlformats.org/officeDocument/2006/relationships" name="Dashboard" sheetId="10" r:id="Rc6871b1cca0b41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#,##0.00;[Red](#,##0.00);-"/>
    <x:numFmt numFmtId="202" formatCode="#,##0;[Red](#,##0);-"/>
    <x:numFmt numFmtId="203" formatCode="0.000"/>
    <x:numFmt numFmtId="204" formatCode="0.0%;[Red](0.0%);-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b/>
      <x:sz val="11"/>
      <x:color rgb="FFFFFFFF"/>
      <x:name val="Carlito"/>
    </x:font>
    <x:font>
      <x:sz val="11"/>
      <x:color rgb="FF333333"/>
      <x:name val="Carlito"/>
    </x:font>
    <x:font>
      <x:b/>
      <x:sz val="12"/>
      <x:color rgb="FF000000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FFFFF"/>
      </x:patternFill>
    </x:fill>
  </x:fills>
  <x:borders count="6">
    <x:border/>
    <x:border/>
    <x:border>
      <x:bottom style="thin">
        <x:color rgb="FF9EADBA"/>
      </x:bottom>
    </x:border>
    <x:border>
      <x:bottom style="thin">
        <x:color rgb="FF9EADBA"/>
      </x:bottom>
    </x:border>
    <x:border>
      <x:bottom style="hair">
        <x:color rgb="FFD9D9D9"/>
      </x:bottom>
    </x:border>
    <x:border>
      <x:bottom style="hair">
        <x:color rgb="FFD9D9D9"/>
      </x:bottom>
    </x:border>
  </x:borders>
  <x:cellStyleXfs count="1">
    <x:xf numFmtId="0" fontId="0" fillId="0" borderId="0"/>
  </x:cellStyleXfs>
  <x:cellXfs count="10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horizont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horizont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3" fontId="4" fillId="0" borderId="0" xfId="0" applyNumberFormat="1" applyFont="1" applyFill="1" applyBorder="1"/>
    <x:xf numFmtId="203" fontId="4" fillId="0" borderId="1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203" fontId="4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/>
    <x:xf numFmtId="204" fontId="4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left"/>
    </x:xf>
    <x:xf numFmtId="0" fontId="6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left"/>
    </x:xf>
    <x:xf numFmtId="0" fontId="6" fillId="5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right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horizontal="right"/>
    </x:xf>
    <x:xf numFmtId="201" fontId="8" fillId="0" borderId="0" xfId="0" applyNumberFormat="1" applyFont="1" applyFill="1" applyBorder="1" applyAlignment="1">
      <x:alignment horizontal="right"/>
    </x:xf>
    <x:xf numFmtId="201" fontId="8" fillId="0" borderId="1" xfId="0" applyNumberFormat="1" applyFont="1" applyFill="1" applyBorder="1" applyAlignment="1">
      <x:alignment horizontal="right"/>
    </x:xf>
    <x:xf numFmtId="204" fontId="8" fillId="0" borderId="0" xfId="0" applyNumberFormat="1" applyFont="1" applyFill="1" applyBorder="1" applyAlignment="1">
      <x:alignment horizontal="right"/>
    </x:xf>
    <x:xf numFmtId="204" fontId="8" fillId="0" borderId="1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/>
    <x:xf numFmtId="0" fontId="7" fillId="6" borderId="4" xfId="0" applyNumberFormat="1" applyFont="1" applyFill="1" applyBorder="1"/>
    <x:xf numFmtId="0" fontId="8" fillId="0" borderId="4" xfId="0" applyNumberFormat="1" applyFont="1" applyFill="1" applyBorder="1" applyAlignment="1">
      <x:alignment horizontal="right"/>
    </x:xf>
    <x:xf numFmtId="0" fontId="0" fillId="0" borderId="4" xfId="0" applyNumberFormat="1" applyFont="1" applyFill="1" applyBorder="1"/>
    <x:xf numFmtId="0" fontId="7" fillId="6" borderId="5" xfId="0" applyNumberFormat="1" applyFont="1" applyFill="1" applyBorder="1"/>
    <x:xf numFmtId="0" fontId="8" fillId="0" borderId="5" xfId="0" applyNumberFormat="1" applyFont="1" applyFill="1" applyBorder="1" applyAlignment="1">
      <x:alignment horizontal="right"/>
    </x:xf>
    <x:xf numFmtId="0" fontId="0" fillId="0" borderId="5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vertical="center" wrapText="1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wrapText="1"/>
    </x:xf>
    <x:xf numFmtId="0" fontId="9" fillId="3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196e7967e848cf" /><Relationship Type="http://schemas.openxmlformats.org/officeDocument/2006/relationships/theme" Target="/xl/theme/theme1.xml" Id="R12c94dc60f6b4cb1" /><Relationship Type="http://schemas.openxmlformats.org/officeDocument/2006/relationships/sharedStrings" Target="/xl/sharedStrings.xml" Id="Rbca11be272034129" /><Relationship Type="http://schemas.openxmlformats.org/officeDocument/2006/relationships/worksheet" Target="/xl/worksheets/sheet1.xml" Id="R3965485a49b54897" /><Relationship Type="http://schemas.openxmlformats.org/officeDocument/2006/relationships/worksheet" Target="/xl/worksheets/sheet2.xml" Id="R529e837dd8174e06" /><Relationship Type="http://schemas.openxmlformats.org/officeDocument/2006/relationships/worksheet" Target="/xl/worksheets/sheet3.xml" Id="R0b858b6e5a09489b" /><Relationship Type="http://schemas.openxmlformats.org/officeDocument/2006/relationships/worksheet" Target="/xl/worksheets/sheet4.xml" Id="R6c184d79ef384ca4" /><Relationship Type="http://schemas.openxmlformats.org/officeDocument/2006/relationships/worksheet" Target="/xl/worksheets/sheet5.xml" Id="R4c0fb80e8ca54061" /><Relationship Type="http://schemas.openxmlformats.org/officeDocument/2006/relationships/worksheet" Target="/xl/worksheets/sheet6.xml" Id="R160ca9490410496b" /><Relationship Type="http://schemas.openxmlformats.org/officeDocument/2006/relationships/worksheet" Target="/xl/worksheets/sheet7.xml" Id="Rf8ec3d8d01a74d2b" /><Relationship Type="http://schemas.openxmlformats.org/officeDocument/2006/relationships/worksheet" Target="/xl/worksheets/sheet8.xml" Id="Rdc46dcc5f9d64477" /><Relationship Type="http://schemas.openxmlformats.org/officeDocument/2006/relationships/worksheet" Target="/xl/worksheets/sheet9.xml" Id="R3cd4c4a4476e424e" /><Relationship Type="http://schemas.openxmlformats.org/officeDocument/2006/relationships/worksheet" Target="/xl/worksheets/sheet10.xml" Id="Rc6871b1cca0b41e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6b8aa2f86b44092" /><Relationship Type="http://schemas.openxmlformats.org/officeDocument/2006/relationships/chart" Target="/xl/drawings/charts/chart2.xml" Id="Rd7dcdf3b45ab48a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2026预算规模 Top15</a:t>
            </a:r>
          </a:p>
        </c:rich>
      </c:tx>
    </c:title>
    <c:plotArea>
      <c:barChart>
        <c:barDir val="bar"/>
        <c:grouping val="clustered"/>
        <c:varyColors val="0"/>
        <c:ser>
          <c:idx val="0"/>
          <c:order val="0"/>
          <c:tx>
            <c:v>2026预算(亿元)</c:v>
          </c:tx>
          <c:cat>
            <c:strRef>
              <c:f>'Dashboard'!$T$5:$T$19</c:f>
              <c:strCache>
                <c:ptCount val="0"/>
              </c:strCache>
            </c:strRef>
          </c:cat>
          <c:val>
            <c:numRef>
              <c:f>'Dashboard'!$U$5:$U$19</c:f>
              <c:numCache>
                <c:formatCode>#,##0.00;[Red](#,##0.00);-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Top10省份：Top100高校预算合计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预算合计(亿元)</c:v>
          </c:tx>
          <c:cat>
            <c:strRef>
              <c:f>'Dashboard'!$W$5:$W$14</c:f>
              <c:strCache>
                <c:ptCount val="0"/>
              </c:strCache>
            </c:strRef>
          </c:cat>
          <c:val>
            <c:numRef>
              <c:f>'Dashboard'!$X$5:$X$14</c:f>
              <c:numCache>
                <c:formatCode>#,##0.00;[Red](#,##0.00);-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b8aa2f86b44092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13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dcdf3b45ab48a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295ef4bc2fb34870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11" hidden="0" customWidth="1"/>
    <x:col min="4" max="4" width="9" hidden="0" customWidth="1"/>
    <x:col min="5" max="5" width="9" hidden="0" customWidth="1"/>
    <x:col min="6" max="6" width="16" hidden="0" customWidth="1"/>
    <x:col min="7" max="7" width="15" hidden="0" customWidth="1"/>
    <x:col min="8" max="8" width="17" hidden="0" customWidth="1"/>
    <x:col min="9" max="9" width="18" hidden="0" customWidth="1"/>
    <x:col min="10" max="10" width="42" hidden="0" customWidth="1"/>
  </x:cols>
  <x:sheetData>
    <x:row r="1" ht="24" customHeight="1">
      <x:c r="A1" s="5" t="str">
        <x:v>中国Top100大学：2026排名与预算总览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40" t="str">
        <x:v>样本：2026软科中国大学排名主榜Top100；预算：2026年度学校/部门总预算，单位亿元。注意“总预算”可包含上年结转与使用非财政拨款结余，不等同于当年新增收入。</x:v>
      </x:c>
      <x:c r="B2" s="40"/>
      <x:c r="C2" s="40"/>
      <x:c r="D2" s="40"/>
      <x:c r="E2" s="40"/>
      <x:c r="F2" s="40"/>
      <x:c r="G2" s="40"/>
      <x:c r="H2" s="40"/>
      <x:c r="I2" s="40"/>
      <x:c r="J2" s="40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</x:row>
    <x:row r="4">
      <x:c r="A4" s="19" t="str">
        <x:v>软科名次</x:v>
      </x:c>
      <x:c r="B4" s="19" t="str">
        <x:v>学校</x:v>
      </x:c>
      <x:c r="C4" s="19" t="str">
        <x:v>软科总分</x:v>
      </x:c>
      <x:c r="D4" s="19" t="str">
        <x:v>省份</x:v>
      </x:c>
      <x:c r="E4" s="19" t="str">
        <x:v>双一流</x:v>
      </x:c>
      <x:c r="F4" s="19" t="str">
        <x:v>2026总预算(亿元)</x:v>
      </x:c>
      <x:c r="G4" s="19" t="str">
        <x:v>Top100内预算名次</x:v>
      </x:c>
      <x:c r="H4" s="19" t="str">
        <x:v>预算名次-软科名次</x:v>
      </x:c>
      <x:c r="I4" s="19" t="str">
        <x:v>预算/软科分(亿元/分)</x:v>
      </x:c>
      <x:c r="J4" s="19" t="str">
        <x:v>来源URL</x:v>
      </x:c>
    </x:row>
    <x:row r="5">
      <x:c r="A5" s="42" t="n">
        <x:v>1</x:v>
      </x:c>
      <x:c r="B5" s="42" t="str">
        <x:v>清华大学</x:v>
      </x:c>
      <x:c r="C5" s="43" t="n">
        <x:v>1087.1</x:v>
      </x:c>
      <x:c r="D5" s="42" t="str">
        <x:v>北京</x:v>
      </x:c>
      <x:c r="E5" s="42" t="str">
        <x:v>是</x:v>
      </x:c>
      <x:c r="F5" s="44" t="n">
        <x:v>403.93</x:v>
      </x:c>
      <x:c r="G5" s="45" t="n">
        <x:f>1+COUNTIF($F$5:$F$104,"&gt;"&amp;F5)</x:f>
        <x:v>1</x:v>
      </x:c>
      <x:c r="H5" s="45" t="n">
        <x:f>G5-A5</x:f>
        <x:v>0</x:v>
      </x:c>
      <x:c r="I5" s="46" t="n">
        <x:f>F5/C5</x:f>
        <x:v>0.37156655321497567</x:v>
      </x:c>
      <x:c r="J5" s="47" t="str">
        <x:v>https://www.cnur.com/detail/4350.html</x:v>
      </x:c>
    </x:row>
    <x:row r="6">
      <x:c r="A6" s="42" t="n">
        <x:v>2</x:v>
      </x:c>
      <x:c r="B6" s="42" t="str">
        <x:v>北京大学</x:v>
      </x:c>
      <x:c r="C6" s="43" t="n">
        <x:v>1036.3</x:v>
      </x:c>
      <x:c r="D6" s="42" t="str">
        <x:v>北京</x:v>
      </x:c>
      <x:c r="E6" s="42" t="str">
        <x:v>是</x:v>
      </x:c>
      <x:c r="F6" s="44" t="n">
        <x:v>280.49</x:v>
      </x:c>
      <x:c r="G6" s="45" t="n">
        <x:f>1+COUNTIF($F$5:$F$104,"&gt;"&amp;F6)</x:f>
        <x:v>4</x:v>
      </x:c>
      <x:c r="H6" s="45" t="n">
        <x:f>G6-A6</x:f>
        <x:v>2</x:v>
      </x:c>
      <x:c r="I6" s="46" t="n">
        <x:f>F6/C6</x:f>
        <x:v>0.2706648653864711</x:v>
      </x:c>
      <x:c r="J6" s="47" t="str">
        <x:v>https://www.cnur.com/detail/4350.html</x:v>
      </x:c>
    </x:row>
    <x:row r="7">
      <x:c r="A7" s="42" t="n">
        <x:v>3</x:v>
      </x:c>
      <x:c r="B7" s="42" t="str">
        <x:v>浙江大学</x:v>
      </x:c>
      <x:c r="C7" s="43" t="n">
        <x:v>895.6</x:v>
      </x:c>
      <x:c r="D7" s="42" t="str">
        <x:v>浙江</x:v>
      </x:c>
      <x:c r="E7" s="42" t="str">
        <x:v>是</x:v>
      </x:c>
      <x:c r="F7" s="44" t="n">
        <x:v>363.13</x:v>
      </x:c>
      <x:c r="G7" s="45" t="n">
        <x:f>1+COUNTIF($F$5:$F$104,"&gt;"&amp;F7)</x:f>
        <x:v>2</x:v>
      </x:c>
      <x:c r="H7" s="45" t="n">
        <x:f>G7-A7</x:f>
        <x:v>-1</x:v>
      </x:c>
      <x:c r="I7" s="46" t="n">
        <x:f>F7/C7</x:f>
        <x:v>0.4054600267976775</x:v>
      </x:c>
      <x:c r="J7" s="47" t="str">
        <x:v>https://www.cnur.com/detail/4350.html</x:v>
      </x:c>
    </x:row>
    <x:row r="8">
      <x:c r="A8" s="42" t="n">
        <x:v>4</x:v>
      </x:c>
      <x:c r="B8" s="42" t="str">
        <x:v>上海交通大学</x:v>
      </x:c>
      <x:c r="C8" s="43" t="n">
        <x:v>894.2</x:v>
      </x:c>
      <x:c r="D8" s="42" t="str">
        <x:v>上海</x:v>
      </x:c>
      <x:c r="E8" s="42" t="str">
        <x:v>是</x:v>
      </x:c>
      <x:c r="F8" s="44" t="n">
        <x:v>304.11</x:v>
      </x:c>
      <x:c r="G8" s="45" t="n">
        <x:f>1+COUNTIF($F$5:$F$104,"&gt;"&amp;F8)</x:f>
        <x:v>3</x:v>
      </x:c>
      <x:c r="H8" s="45" t="n">
        <x:f>G8-A8</x:f>
        <x:v>-1</x:v>
      </x:c>
      <x:c r="I8" s="46" t="n">
        <x:f>F8/C8</x:f>
        <x:v>0.34009170208007156</x:v>
      </x:c>
      <x:c r="J8" s="47" t="str">
        <x:v>https://www.cnur.com/detail/4350.html</x:v>
      </x:c>
    </x:row>
    <x:row r="9">
      <x:c r="A9" s="42" t="n">
        <x:v>5</x:v>
      </x:c>
      <x:c r="B9" s="42" t="str">
        <x:v>复旦大学</x:v>
      </x:c>
      <x:c r="C9" s="43" t="n">
        <x:v>792.4</x:v>
      </x:c>
      <x:c r="D9" s="42" t="str">
        <x:v>上海</x:v>
      </x:c>
      <x:c r="E9" s="42" t="str">
        <x:v>是</x:v>
      </x:c>
      <x:c r="F9" s="44" t="n">
        <x:v>199.39</x:v>
      </x:c>
      <x:c r="G9" s="45" t="n">
        <x:f>1+COUNTIF($F$5:$F$104,"&gt;"&amp;F9)</x:f>
        <x:v>7</x:v>
      </x:c>
      <x:c r="H9" s="45" t="n">
        <x:f>G9-A9</x:f>
        <x:v>2</x:v>
      </x:c>
      <x:c r="I9" s="46" t="n">
        <x:f>F9/C9</x:f>
        <x:v>0.25162796567390205</x:v>
      </x:c>
      <x:c r="J9" s="47" t="str">
        <x:v>https://www.cnur.com/detail/4350.html</x:v>
      </x:c>
    </x:row>
    <x:row r="10">
      <x:c r="A10" s="42" t="n">
        <x:v>6</x:v>
      </x:c>
      <x:c r="B10" s="42" t="str">
        <x:v>南京大学</x:v>
      </x:c>
      <x:c r="C10" s="43" t="n">
        <x:v>708.5</x:v>
      </x:c>
      <x:c r="D10" s="42" t="str">
        <x:v>江苏</x:v>
      </x:c>
      <x:c r="E10" s="42" t="str">
        <x:v>是</x:v>
      </x:c>
      <x:c r="F10" s="44" t="n">
        <x:v>146.67</x:v>
      </x:c>
      <x:c r="G10" s="45" t="n">
        <x:f>1+COUNTIF($F$5:$F$104,"&gt;"&amp;F10)</x:f>
        <x:v>17</x:v>
      </x:c>
      <x:c r="H10" s="45" t="n">
        <x:f>G10-A10</x:f>
        <x:v>11</x:v>
      </x:c>
      <x:c r="I10" s="46" t="n">
        <x:f>F10/C10</x:f>
        <x:v>0.20701482004234295</x:v>
      </x:c>
      <x:c r="J10" s="47" t="str">
        <x:v>https://www.cnur.com/detail/4350.html</x:v>
      </x:c>
    </x:row>
    <x:row r="11">
      <x:c r="A11" s="42" t="n">
        <x:v>7</x:v>
      </x:c>
      <x:c r="B11" s="42" t="str">
        <x:v>中国科学技术大学</x:v>
      </x:c>
      <x:c r="C11" s="43" t="n">
        <x:v>653.1</x:v>
      </x:c>
      <x:c r="D11" s="42" t="str">
        <x:v>安徽</x:v>
      </x:c>
      <x:c r="E11" s="42" t="str">
        <x:v>是</x:v>
      </x:c>
      <x:c r="F11" s="44" t="n">
        <x:v>137.29</x:v>
      </x:c>
      <x:c r="G11" s="45" t="n">
        <x:f>1+COUNTIF($F$5:$F$104,"&gt;"&amp;F11)</x:f>
        <x:v>20</x:v>
      </x:c>
      <x:c r="H11" s="45" t="n">
        <x:f>G11-A11</x:f>
        <x:v>13</x:v>
      </x:c>
      <x:c r="I11" s="46" t="n">
        <x:f>F11/C11</x:f>
        <x:v>0.21021283111315264</x:v>
      </x:c>
      <x:c r="J11" s="47" t="str">
        <x:v>https://www.cnur.com/detail/4350.html</x:v>
      </x:c>
    </x:row>
    <x:row r="12">
      <x:c r="A12" s="42" t="n">
        <x:v>8</x:v>
      </x:c>
      <x:c r="B12" s="42" t="str">
        <x:v>武汉大学</x:v>
      </x:c>
      <x:c r="C12" s="43" t="n">
        <x:v>638.7</x:v>
      </x:c>
      <x:c r="D12" s="42" t="str">
        <x:v>湖北</x:v>
      </x:c>
      <x:c r="E12" s="42" t="str">
        <x:v>是</x:v>
      </x:c>
      <x:c r="F12" s="44" t="n">
        <x:v>144.17</x:v>
      </x:c>
      <x:c r="G12" s="45" t="n">
        <x:f>1+COUNTIF($F$5:$F$104,"&gt;"&amp;F12)</x:f>
        <x:v>18</x:v>
      </x:c>
      <x:c r="H12" s="45" t="n">
        <x:f>G12-A12</x:f>
        <x:v>10</x:v>
      </x:c>
      <x:c r="I12" s="46" t="n">
        <x:f>F12/C12</x:f>
        <x:v>0.22572412713323936</x:v>
      </x:c>
      <x:c r="J12" s="47" t="str">
        <x:v>https://www.cnur.com/detail/4350.html</x:v>
      </x:c>
    </x:row>
    <x:row r="13">
      <x:c r="A13" s="42" t="n">
        <x:v>9</x:v>
      </x:c>
      <x:c r="B13" s="42" t="str">
        <x:v>华中科技大学</x:v>
      </x:c>
      <x:c r="C13" s="43" t="n">
        <x:v>638</x:v>
      </x:c>
      <x:c r="D13" s="42" t="str">
        <x:v>湖北</x:v>
      </x:c>
      <x:c r="E13" s="42" t="str">
        <x:v>是</x:v>
      </x:c>
      <x:c r="F13" s="44" t="n">
        <x:v>157.82</x:v>
      </x:c>
      <x:c r="G13" s="45" t="n">
        <x:f>1+COUNTIF($F$5:$F$104,"&gt;"&amp;F13)</x:f>
        <x:v>15</x:v>
      </x:c>
      <x:c r="H13" s="45" t="n">
        <x:f>G13-A13</x:f>
        <x:v>6</x:v>
      </x:c>
      <x:c r="I13" s="46" t="n">
        <x:f>F13/C13</x:f>
        <x:v>0.2473667711598746</x:v>
      </x:c>
      <x:c r="J13" s="47" t="str">
        <x:v>https://www.cnur.com/detail/4350.html</x:v>
      </x:c>
    </x:row>
    <x:row r="14">
      <x:c r="A14" s="42" t="n">
        <x:v>10</x:v>
      </x:c>
      <x:c r="B14" s="42" t="str">
        <x:v>西安交通大学</x:v>
      </x:c>
      <x:c r="C14" s="43" t="n">
        <x:v>620.8</x:v>
      </x:c>
      <x:c r="D14" s="42" t="str">
        <x:v>陕西</x:v>
      </x:c>
      <x:c r="E14" s="42" t="str">
        <x:v>是</x:v>
      </x:c>
      <x:c r="F14" s="44" t="n">
        <x:v>185.56</x:v>
      </x:c>
      <x:c r="G14" s="45" t="n">
        <x:f>1+COUNTIF($F$5:$F$104,"&gt;"&amp;F14)</x:f>
        <x:v>8</x:v>
      </x:c>
      <x:c r="H14" s="45" t="n">
        <x:f>G14-A14</x:f>
        <x:v>-2</x:v>
      </x:c>
      <x:c r="I14" s="46" t="n">
        <x:f>F14/C14</x:f>
        <x:v>0.2989046391752578</x:v>
      </x:c>
      <x:c r="J14" s="47" t="str">
        <x:v>https://www.cnur.com/detail/4350.html</x:v>
      </x:c>
    </x:row>
    <x:row r="15">
      <x:c r="A15" s="42" t="n">
        <x:v>11</x:v>
      </x:c>
      <x:c r="B15" s="42" t="str">
        <x:v>北京航空航天大学</x:v>
      </x:c>
      <x:c r="C15" s="43" t="n">
        <x:v>612.8</x:v>
      </x:c>
      <x:c r="D15" s="42" t="str">
        <x:v>北京</x:v>
      </x:c>
      <x:c r="E15" s="42" t="str">
        <x:v>是</x:v>
      </x:c>
      <x:c r="F15" s="44" t="n">
        <x:v>170.19</x:v>
      </x:c>
      <x:c r="G15" s="45" t="n">
        <x:f>1+COUNTIF($F$5:$F$104,"&gt;"&amp;F15)</x:f>
        <x:v>11</x:v>
      </x:c>
      <x:c r="H15" s="45" t="n">
        <x:f>G15-A15</x:f>
        <x:v>0</x:v>
      </x:c>
      <x:c r="I15" s="46" t="n">
        <x:f>F15/C15</x:f>
        <x:v>0.2777251958224543</x:v>
      </x:c>
      <x:c r="J15" s="47" t="str">
        <x:v>https://www.cnur.com/detail/4350.html</x:v>
      </x:c>
    </x:row>
    <x:row r="16">
      <x:c r="A16" s="42" t="n">
        <x:v>12</x:v>
      </x:c>
      <x:c r="B16" s="42" t="str">
        <x:v>哈尔滨工业大学</x:v>
      </x:c>
      <x:c r="C16" s="43" t="n">
        <x:v>607.7</x:v>
      </x:c>
      <x:c r="D16" s="42" t="str">
        <x:v>黑龙江</x:v>
      </x:c>
      <x:c r="E16" s="42" t="str">
        <x:v>是</x:v>
      </x:c>
      <x:c r="F16" s="44" t="n">
        <x:v>258.84</x:v>
      </x:c>
      <x:c r="G16" s="45" t="n">
        <x:f>1+COUNTIF($F$5:$F$104,"&gt;"&amp;F16)</x:f>
        <x:v>5</x:v>
      </x:c>
      <x:c r="H16" s="45" t="n">
        <x:f>G16-A16</x:f>
        <x:v>-7</x:v>
      </x:c>
      <x:c r="I16" s="46" t="n">
        <x:f>F16/C16</x:f>
        <x:v>0.42593384893862096</x:v>
      </x:c>
      <x:c r="J16" s="47" t="str">
        <x:v>https://www.cnur.com/detail/4350.html</x:v>
      </x:c>
    </x:row>
    <x:row r="17">
      <x:c r="A17" s="42" t="n">
        <x:v>13</x:v>
      </x:c>
      <x:c r="B17" s="42" t="str">
        <x:v>中山大学</x:v>
      </x:c>
      <x:c r="C17" s="43" t="n">
        <x:v>597.6</x:v>
      </x:c>
      <x:c r="D17" s="42" t="str">
        <x:v>广东</x:v>
      </x:c>
      <x:c r="E17" s="42" t="str">
        <x:v>是</x:v>
      </x:c>
      <x:c r="F17" s="44" t="n">
        <x:v>213.85</x:v>
      </x:c>
      <x:c r="G17" s="45" t="n">
        <x:f>1+COUNTIF($F$5:$F$104,"&gt;"&amp;F17)</x:f>
        <x:v>6</x:v>
      </x:c>
      <x:c r="H17" s="45" t="n">
        <x:f>G17-A17</x:f>
        <x:v>-7</x:v>
      </x:c>
      <x:c r="I17" s="46" t="n">
        <x:f>F17/C17</x:f>
        <x:v>0.3578480589022757</x:v>
      </x:c>
      <x:c r="J17" s="47" t="str">
        <x:v>https://www.cnur.com/detail/4350.html</x:v>
      </x:c>
    </x:row>
    <x:row r="18">
      <x:c r="A18" s="42" t="n">
        <x:v>14</x:v>
      </x:c>
      <x:c r="B18" s="42" t="str">
        <x:v>北京理工大学</x:v>
      </x:c>
      <x:c r="C18" s="43" t="n">
        <x:v>595.4</x:v>
      </x:c>
      <x:c r="D18" s="42" t="str">
        <x:v>北京</x:v>
      </x:c>
      <x:c r="E18" s="42" t="str">
        <x:v>是</x:v>
      </x:c>
      <x:c r="F18" s="44" t="n">
        <x:v>179.11</x:v>
      </x:c>
      <x:c r="G18" s="45" t="n">
        <x:f>1+COUNTIF($F$5:$F$104,"&gt;"&amp;F18)</x:f>
        <x:v>9</x:v>
      </x:c>
      <x:c r="H18" s="45" t="n">
        <x:f>G18-A18</x:f>
        <x:v>-5</x:v>
      </x:c>
      <x:c r="I18" s="46" t="n">
        <x:f>F18/C18</x:f>
        <x:v>0.3008229761504871</x:v>
      </x:c>
      <x:c r="J18" s="47" t="str">
        <x:v>https://www.cnur.com/detail/4350.html</x:v>
      </x:c>
    </x:row>
    <x:row r="19">
      <x:c r="A19" s="42" t="n">
        <x:v>15</x:v>
      </x:c>
      <x:c r="B19" s="42" t="str">
        <x:v>东南大学</x:v>
      </x:c>
      <x:c r="C19" s="43" t="n">
        <x:v>592.3</x:v>
      </x:c>
      <x:c r="D19" s="42" t="str">
        <x:v>江苏</x:v>
      </x:c>
      <x:c r="E19" s="42" t="str">
        <x:v>是</x:v>
      </x:c>
      <x:c r="F19" s="44" t="n">
        <x:v>167.91</x:v>
      </x:c>
      <x:c r="G19" s="45" t="n">
        <x:f>1+COUNTIF($F$5:$F$104,"&gt;"&amp;F19)</x:f>
        <x:v>12</x:v>
      </x:c>
      <x:c r="H19" s="45" t="n">
        <x:f>G19-A19</x:f>
        <x:v>-3</x:v>
      </x:c>
      <x:c r="I19" s="46" t="n">
        <x:f>F19/C19</x:f>
        <x:v>0.2834880972480162</x:v>
      </x:c>
      <x:c r="J19" s="47" t="str">
        <x:v>https://www.cnur.com/detail/4350.html</x:v>
      </x:c>
    </x:row>
    <x:row r="20">
      <x:c r="A20" s="42" t="n">
        <x:v>16</x:v>
      </x:c>
      <x:c r="B20" s="42" t="str">
        <x:v>四川大学</x:v>
      </x:c>
      <x:c r="C20" s="43" t="n">
        <x:v>581.3</x:v>
      </x:c>
      <x:c r="D20" s="42" t="str">
        <x:v>四川</x:v>
      </x:c>
      <x:c r="E20" s="42" t="str">
        <x:v>是</x:v>
      </x:c>
      <x:c r="F20" s="44" t="n">
        <x:v>129.25</x:v>
      </x:c>
      <x:c r="G20" s="45" t="n">
        <x:f>1+COUNTIF($F$5:$F$104,"&gt;"&amp;F20)</x:f>
        <x:v>24</x:v>
      </x:c>
      <x:c r="H20" s="45" t="n">
        <x:f>G20-A20</x:f>
        <x:v>8</x:v>
      </x:c>
      <x:c r="I20" s="46" t="n">
        <x:f>F20/C20</x:f>
        <x:v>0.22234646482023054</x:v>
      </x:c>
      <x:c r="J20" s="47" t="str">
        <x:v>https://www.cnur.com/detail/4350.html</x:v>
      </x:c>
    </x:row>
    <x:row r="21">
      <x:c r="A21" s="42" t="n">
        <x:v>17</x:v>
      </x:c>
      <x:c r="B21" s="42" t="str">
        <x:v>中国人民大学</x:v>
      </x:c>
      <x:c r="C21" s="43" t="n">
        <x:v>558.1</x:v>
      </x:c>
      <x:c r="D21" s="42" t="str">
        <x:v>北京</x:v>
      </x:c>
      <x:c r="E21" s="42" t="str">
        <x:v>是</x:v>
      </x:c>
      <x:c r="F21" s="44" t="n">
        <x:v>93.79</x:v>
      </x:c>
      <x:c r="G21" s="45" t="n">
        <x:f>1+COUNTIF($F$5:$F$104,"&gt;"&amp;F21)</x:f>
        <x:v>38</x:v>
      </x:c>
      <x:c r="H21" s="45" t="n">
        <x:f>G21-A21</x:f>
        <x:v>21</x:v>
      </x:c>
      <x:c r="I21" s="46" t="n">
        <x:f>F21/C21</x:f>
        <x:v>0.16805232037269308</x:v>
      </x:c>
      <x:c r="J21" s="47" t="str">
        <x:v>https://www.cnur.com/detail/4350.html</x:v>
      </x:c>
    </x:row>
    <x:row r="22">
      <x:c r="A22" s="42" t="n">
        <x:v>18</x:v>
      </x:c>
      <x:c r="B22" s="42" t="str">
        <x:v>同济大学</x:v>
      </x:c>
      <x:c r="C22" s="43" t="n">
        <x:v>556.6</x:v>
      </x:c>
      <x:c r="D22" s="42" t="str">
        <x:v>上海</x:v>
      </x:c>
      <x:c r="E22" s="42" t="str">
        <x:v>是</x:v>
      </x:c>
      <x:c r="F22" s="44" t="n">
        <x:v>171.63</x:v>
      </x:c>
      <x:c r="G22" s="45" t="n">
        <x:f>1+COUNTIF($F$5:$F$104,"&gt;"&amp;F22)</x:f>
        <x:v>10</x:v>
      </x:c>
      <x:c r="H22" s="45" t="n">
        <x:f>G22-A22</x:f>
        <x:v>-8</x:v>
      </x:c>
      <x:c r="I22" s="46" t="n">
        <x:f>F22/C22</x:f>
        <x:v>0.3083542939274164</x:v>
      </x:c>
      <x:c r="J22" s="47" t="str">
        <x:v>https://www.cnur.com/detail/4350.html</x:v>
      </x:c>
    </x:row>
    <x:row r="23">
      <x:c r="A23" s="42" t="n">
        <x:v>19</x:v>
      </x:c>
      <x:c r="B23" s="42" t="str">
        <x:v>北京师范大学</x:v>
      </x:c>
      <x:c r="C23" s="43" t="n">
        <x:v>553.2</x:v>
      </x:c>
      <x:c r="D23" s="42" t="str">
        <x:v>北京</x:v>
      </x:c>
      <x:c r="E23" s="42" t="str">
        <x:v>是</x:v>
      </x:c>
      <x:c r="F23" s="44" t="n">
        <x:v>130.39</x:v>
      </x:c>
      <x:c r="G23" s="45" t="n">
        <x:f>1+COUNTIF($F$5:$F$104,"&gt;"&amp;F23)</x:f>
        <x:v>21</x:v>
      </x:c>
      <x:c r="H23" s="45" t="n">
        <x:f>G23-A23</x:f>
        <x:v>2</x:v>
      </x:c>
      <x:c r="I23" s="46" t="n">
        <x:f>F23/C23</x:f>
        <x:v>0.23570137382501805</x:v>
      </x:c>
      <x:c r="J23" s="47" t="str">
        <x:v>https://www.cnur.com/detail/4350.html</x:v>
      </x:c>
    </x:row>
    <x:row r="24">
      <x:c r="A24" s="42" t="n">
        <x:v>20</x:v>
      </x:c>
      <x:c r="B24" s="42" t="str">
        <x:v>天津大学</x:v>
      </x:c>
      <x:c r="C24" s="43" t="n">
        <x:v>544.2</x:v>
      </x:c>
      <x:c r="D24" s="42" t="str">
        <x:v>天津</x:v>
      </x:c>
      <x:c r="E24" s="42" t="str">
        <x:v>是</x:v>
      </x:c>
      <x:c r="F24" s="44" t="n">
        <x:v>114.59</x:v>
      </x:c>
      <x:c r="G24" s="45" t="n">
        <x:f>1+COUNTIF($F$5:$F$104,"&gt;"&amp;F24)</x:f>
        <x:v>27</x:v>
      </x:c>
      <x:c r="H24" s="45" t="n">
        <x:f>G24-A24</x:f>
        <x:v>7</x:v>
      </x:c>
      <x:c r="I24" s="46" t="n">
        <x:f>F24/C24</x:f>
        <x:v>0.2105659683939728</x:v>
      </x:c>
      <x:c r="J24" s="47" t="str">
        <x:v>https://www.cnur.com/detail/4350.html</x:v>
      </x:c>
    </x:row>
    <x:row r="25">
      <x:c r="A25" s="42" t="n">
        <x:v>21</x:v>
      </x:c>
      <x:c r="B25" s="42" t="str">
        <x:v>南开大学</x:v>
      </x:c>
      <x:c r="C25" s="43" t="n">
        <x:v>528.8</x:v>
      </x:c>
      <x:c r="D25" s="42" t="str">
        <x:v>天津</x:v>
      </x:c>
      <x:c r="E25" s="42" t="str">
        <x:v>是</x:v>
      </x:c>
      <x:c r="F25" s="44" t="n">
        <x:v>74.28</x:v>
      </x:c>
      <x:c r="G25" s="45" t="n">
        <x:f>1+COUNTIF($F$5:$F$104,"&gt;"&amp;F25)</x:f>
        <x:v>47</x:v>
      </x:c>
      <x:c r="H25" s="45" t="n">
        <x:f>G25-A25</x:f>
        <x:v>26</x:v>
      </x:c>
      <x:c r="I25" s="46" t="n">
        <x:f>F25/C25</x:f>
        <x:v>0.14046898638426628</x:v>
      </x:c>
      <x:c r="J25" s="47" t="str">
        <x:v>https://www.cnur.com/detail/4350.html</x:v>
      </x:c>
    </x:row>
    <x:row r="26">
      <x:c r="A26" s="42" t="n">
        <x:v>22</x:v>
      </x:c>
      <x:c r="B26" s="42" t="str">
        <x:v>山东大学</x:v>
      </x:c>
      <x:c r="C26" s="43" t="n">
        <x:v>527.1</x:v>
      </x:c>
      <x:c r="D26" s="42" t="str">
        <x:v>山东</x:v>
      </x:c>
      <x:c r="E26" s="42" t="str">
        <x:v>是</x:v>
      </x:c>
      <x:c r="F26" s="44" t="n">
        <x:v>165.76</x:v>
      </x:c>
      <x:c r="G26" s="45" t="n">
        <x:f>1+COUNTIF($F$5:$F$104,"&gt;"&amp;F26)</x:f>
        <x:v>13</x:v>
      </x:c>
      <x:c r="H26" s="45" t="n">
        <x:f>G26-A26</x:f>
        <x:v>-9</x:v>
      </x:c>
      <x:c r="I26" s="46" t="n">
        <x:f>F26/C26</x:f>
        <x:v>0.31447543160690566</x:v>
      </x:c>
      <x:c r="J26" s="47" t="str">
        <x:v>https://www.cnur.com/detail/4350.html</x:v>
      </x:c>
    </x:row>
    <x:row r="27">
      <x:c r="A27" s="42" t="n">
        <x:v>23</x:v>
      </x:c>
      <x:c r="B27" s="42" t="str">
        <x:v>西北工业大学</x:v>
      </x:c>
      <x:c r="C27" s="43" t="n">
        <x:v>519.2</x:v>
      </x:c>
      <x:c r="D27" s="42" t="str">
        <x:v>陕西</x:v>
      </x:c>
      <x:c r="E27" s="42" t="str">
        <x:v>是</x:v>
      </x:c>
      <x:c r="F27" s="44" t="n">
        <x:v>158.21</x:v>
      </x:c>
      <x:c r="G27" s="45" t="n">
        <x:f>1+COUNTIF($F$5:$F$104,"&gt;"&amp;F27)</x:f>
        <x:v>14</x:v>
      </x:c>
      <x:c r="H27" s="45" t="n">
        <x:f>G27-A27</x:f>
        <x:v>-9</x:v>
      </x:c>
      <x:c r="I27" s="46" t="n">
        <x:f>F27/C27</x:f>
        <x:v>0.3047187981510015</x:v>
      </x:c>
      <x:c r="J27" s="47" t="str">
        <x:v>https://www.cnur.com/detail/4350.html</x:v>
      </x:c>
    </x:row>
    <x:row r="28">
      <x:c r="A28" s="42" t="n">
        <x:v>24</x:v>
      </x:c>
      <x:c r="B28" s="42" t="str">
        <x:v>中国农业大学</x:v>
      </x:c>
      <x:c r="C28" s="43" t="n">
        <x:v>519.1</x:v>
      </x:c>
      <x:c r="D28" s="42" t="str">
        <x:v>北京</x:v>
      </x:c>
      <x:c r="E28" s="42" t="str">
        <x:v>是</x:v>
      </x:c>
      <x:c r="F28" s="44" t="n">
        <x:v>102.19</x:v>
      </x:c>
      <x:c r="G28" s="45" t="n">
        <x:f>1+COUNTIF($F$5:$F$104,"&gt;"&amp;F28)</x:f>
        <x:v>31</x:v>
      </x:c>
      <x:c r="H28" s="45" t="n">
        <x:f>G28-A28</x:f>
        <x:v>7</x:v>
      </x:c>
      <x:c r="I28" s="46" t="n">
        <x:f>F28/C28</x:f>
        <x:v>0.1968599499133115</x:v>
      </x:c>
      <x:c r="J28" s="47" t="str">
        <x:v>https://www.cnur.com/detail/4350.html</x:v>
      </x:c>
    </x:row>
    <x:row r="29">
      <x:c r="A29" s="42" t="n">
        <x:v>25</x:v>
      </x:c>
      <x:c r="B29" s="42" t="str">
        <x:v>厦门大学</x:v>
      </x:c>
      <x:c r="C29" s="43" t="n">
        <x:v>512.5</x:v>
      </x:c>
      <x:c r="D29" s="42" t="str">
        <x:v>福建</x:v>
      </x:c>
      <x:c r="E29" s="42" t="str">
        <x:v>是</x:v>
      </x:c>
      <x:c r="F29" s="44" t="n">
        <x:v>138.08</x:v>
      </x:c>
      <x:c r="G29" s="45" t="n">
        <x:f>1+COUNTIF($F$5:$F$104,"&gt;"&amp;F29)</x:f>
        <x:v>19</x:v>
      </x:c>
      <x:c r="H29" s="45" t="n">
        <x:f>G29-A29</x:f>
        <x:v>-6</x:v>
      </x:c>
      <x:c r="I29" s="46" t="n">
        <x:f>F29/C29</x:f>
        <x:v>0.26942439024390247</x:v>
      </x:c>
      <x:c r="J29" s="47" t="str">
        <x:v>https://www.cnur.com/detail/4350.html</x:v>
      </x:c>
    </x:row>
    <x:row r="30">
      <x:c r="A30" s="42" t="n">
        <x:v>26</x:v>
      </x:c>
      <x:c r="B30" s="42" t="str">
        <x:v>吉林大学</x:v>
      </x:c>
      <x:c r="C30" s="43" t="n">
        <x:v>498.2</x:v>
      </x:c>
      <x:c r="D30" s="42" t="str">
        <x:v>吉林</x:v>
      </x:c>
      <x:c r="E30" s="42" t="str">
        <x:v>是</x:v>
      </x:c>
      <x:c r="F30" s="44" t="n">
        <x:v>113.21</x:v>
      </x:c>
      <x:c r="G30" s="45" t="n">
        <x:f>1+COUNTIF($F$5:$F$104,"&gt;"&amp;F30)</x:f>
        <x:v>28</x:v>
      </x:c>
      <x:c r="H30" s="45" t="n">
        <x:f>G30-A30</x:f>
        <x:v>2</x:v>
      </x:c>
      <x:c r="I30" s="46" t="n">
        <x:f>F30/C30</x:f>
        <x:v>0.2272380570052188</x:v>
      </x:c>
      <x:c r="J30" s="47" t="str">
        <x:v>https://www.cnur.com/detail/4350.html</x:v>
      </x:c>
    </x:row>
    <x:row r="31">
      <x:c r="A31" s="42" t="n">
        <x:v>27</x:v>
      </x:c>
      <x:c r="B31" s="42" t="str">
        <x:v>中南大学</x:v>
      </x:c>
      <x:c r="C31" s="43" t="n">
        <x:v>497</x:v>
      </x:c>
      <x:c r="D31" s="42" t="str">
        <x:v>湖南</x:v>
      </x:c>
      <x:c r="E31" s="42" t="str">
        <x:v>是</x:v>
      </x:c>
      <x:c r="F31" s="44" t="n">
        <x:v>121.38</x:v>
      </x:c>
      <x:c r="G31" s="45" t="n">
        <x:f>1+COUNTIF($F$5:$F$104,"&gt;"&amp;F31)</x:f>
        <x:v>25</x:v>
      </x:c>
      <x:c r="H31" s="45" t="n">
        <x:f>G31-A31</x:f>
        <x:v>-2</x:v>
      </x:c>
      <x:c r="I31" s="46" t="n">
        <x:f>F31/C31</x:f>
        <x:v>0.24422535211267604</x:v>
      </x:c>
      <x:c r="J31" s="47" t="str">
        <x:v>https://www.cnur.com/detail/4350.html</x:v>
      </x:c>
    </x:row>
    <x:row r="32">
      <x:c r="A32" s="42" t="n">
        <x:v>28</x:v>
      </x:c>
      <x:c r="B32" s="42" t="str">
        <x:v>大连理工大学</x:v>
      </x:c>
      <x:c r="C32" s="43" t="n">
        <x:v>495.4</x:v>
      </x:c>
      <x:c r="D32" s="42" t="str">
        <x:v>辽宁</x:v>
      </x:c>
      <x:c r="E32" s="42" t="str">
        <x:v>是</x:v>
      </x:c>
      <x:c r="F32" s="44" t="n">
        <x:v>112.77</x:v>
      </x:c>
      <x:c r="G32" s="45" t="n">
        <x:f>1+COUNTIF($F$5:$F$104,"&gt;"&amp;F32)</x:f>
        <x:v>29</x:v>
      </x:c>
      <x:c r="H32" s="45" t="n">
        <x:f>G32-A32</x:f>
        <x:v>1</x:v>
      </x:c>
      <x:c r="I32" s="46" t="n">
        <x:f>F32/C32</x:f>
        <x:v>0.22763423496164717</x:v>
      </x:c>
      <x:c r="J32" s="47" t="str">
        <x:v>https://www.cnur.com/detail/4350.html</x:v>
      </x:c>
    </x:row>
    <x:row r="33">
      <x:c r="A33" s="42" t="n">
        <x:v>29</x:v>
      </x:c>
      <x:c r="B33" s="42" t="str">
        <x:v>华东师范大学</x:v>
      </x:c>
      <x:c r="C33" s="43" t="n">
        <x:v>469.1</x:v>
      </x:c>
      <x:c r="D33" s="42" t="str">
        <x:v>上海</x:v>
      </x:c>
      <x:c r="E33" s="42" t="str">
        <x:v>是</x:v>
      </x:c>
      <x:c r="F33" s="44" t="n">
        <x:v>87.42</x:v>
      </x:c>
      <x:c r="G33" s="45" t="n">
        <x:f>1+COUNTIF($F$5:$F$104,"&gt;"&amp;F33)</x:f>
        <x:v>41</x:v>
      </x:c>
      <x:c r="H33" s="45" t="n">
        <x:f>G33-A33</x:f>
        <x:v>12</x:v>
      </x:c>
      <x:c r="I33" s="46" t="n">
        <x:f>F33/C33</x:f>
        <x:v>0.1863568535493498</x:v>
      </x:c>
      <x:c r="J33" s="47" t="str">
        <x:v>https://www.cnur.com/detail/4350.html</x:v>
      </x:c>
    </x:row>
    <x:row r="34">
      <x:c r="A34" s="42" t="n">
        <x:v>30</x:v>
      </x:c>
      <x:c r="B34" s="42" t="str">
        <x:v>南方科技大学</x:v>
      </x:c>
      <x:c r="C34" s="43" t="n">
        <x:v>466.9</x:v>
      </x:c>
      <x:c r="D34" s="42" t="str">
        <x:v>广东</x:v>
      </x:c>
      <x:c r="E34" s="42" t="str">
        <x:v>是</x:v>
      </x:c>
      <x:c r="F34" s="44" t="n">
        <x:v>47.92</x:v>
      </x:c>
      <x:c r="G34" s="45" t="n">
        <x:f>1+COUNTIF($F$5:$F$104,"&gt;"&amp;F34)</x:f>
        <x:v>71</x:v>
      </x:c>
      <x:c r="H34" s="45" t="n">
        <x:f>G34-A34</x:f>
        <x:v>41</x:v>
      </x:c>
      <x:c r="I34" s="46" t="n">
        <x:f>F34/C34</x:f>
        <x:v>0.1026343970871707</x:v>
      </x:c>
      <x:c r="J34" s="47" t="str">
        <x:v>https://www.cnur.com/detail/4350.html</x:v>
      </x:c>
    </x:row>
    <x:row r="35">
      <x:c r="A35" s="42" t="n">
        <x:v>31</x:v>
      </x:c>
      <x:c r="B35" s="42" t="str">
        <x:v>湖南大学</x:v>
      </x:c>
      <x:c r="C35" s="43" t="n">
        <x:v>464.1</x:v>
      </x:c>
      <x:c r="D35" s="42" t="str">
        <x:v>湖南</x:v>
      </x:c>
      <x:c r="E35" s="42" t="str">
        <x:v>是</x:v>
      </x:c>
      <x:c r="F35" s="44" t="n">
        <x:v>108.05</x:v>
      </x:c>
      <x:c r="G35" s="45" t="n">
        <x:f>1+COUNTIF($F$5:$F$104,"&gt;"&amp;F35)</x:f>
        <x:v>30</x:v>
      </x:c>
      <x:c r="H35" s="45" t="n">
        <x:f>G35-A35</x:f>
        <x:v>-1</x:v>
      </x:c>
      <x:c r="I35" s="46" t="n">
        <x:f>F35/C35</x:f>
        <x:v>0.23281620340443868</x:v>
      </x:c>
      <x:c r="J35" s="47" t="str">
        <x:v>https://www.cnur.com/detail/4350.html</x:v>
      </x:c>
    </x:row>
    <x:row r="36">
      <x:c r="A36" s="42" t="n">
        <x:v>32</x:v>
      </x:c>
      <x:c r="B36" s="42" t="str">
        <x:v>华南理工大学</x:v>
      </x:c>
      <x:c r="C36" s="43" t="n">
        <x:v>456.4</x:v>
      </x:c>
      <x:c r="D36" s="42" t="str">
        <x:v>广东</x:v>
      </x:c>
      <x:c r="E36" s="42" t="str">
        <x:v>是</x:v>
      </x:c>
      <x:c r="F36" s="44" t="n">
        <x:v>129.52</x:v>
      </x:c>
      <x:c r="G36" s="45" t="n">
        <x:f>1+COUNTIF($F$5:$F$104,"&gt;"&amp;F36)</x:f>
        <x:v>23</x:v>
      </x:c>
      <x:c r="H36" s="45" t="n">
        <x:f>G36-A36</x:f>
        <x:v>-9</x:v>
      </x:c>
      <x:c r="I36" s="46" t="n">
        <x:f>F36/C36</x:f>
        <x:v>0.283786152497809</x:v>
      </x:c>
      <x:c r="J36" s="47" t="str">
        <x:v>https://www.cnur.com/detail/4350.html</x:v>
      </x:c>
    </x:row>
    <x:row r="37">
      <x:c r="A37" s="42" t="n">
        <x:v>33</x:v>
      </x:c>
      <x:c r="B37" s="42" t="str">
        <x:v>电子科技大学</x:v>
      </x:c>
      <x:c r="C37" s="43" t="n">
        <x:v>453.6</x:v>
      </x:c>
      <x:c r="D37" s="42" t="str">
        <x:v>四川</x:v>
      </x:c>
      <x:c r="E37" s="42" t="str">
        <x:v>是</x:v>
      </x:c>
      <x:c r="F37" s="44" t="n">
        <x:v>97.53</x:v>
      </x:c>
      <x:c r="G37" s="45" t="n">
        <x:f>1+COUNTIF($F$5:$F$104,"&gt;"&amp;F37)</x:f>
        <x:v>35</x:v>
      </x:c>
      <x:c r="H37" s="45" t="n">
        <x:f>G37-A37</x:f>
        <x:v>2</x:v>
      </x:c>
      <x:c r="I37" s="46" t="n">
        <x:f>F37/C37</x:f>
        <x:v>0.21501322751322752</x:v>
      </x:c>
      <x:c r="J37" s="47" t="str">
        <x:v>https://www.cnur.com/detail/4350.html</x:v>
      </x:c>
    </x:row>
    <x:row r="38">
      <x:c r="A38" s="42" t="n">
        <x:v>34</x:v>
      </x:c>
      <x:c r="B38" s="42" t="str">
        <x:v>重庆大学</x:v>
      </x:c>
      <x:c r="C38" s="43" t="n">
        <x:v>436</x:v>
      </x:c>
      <x:c r="D38" s="42" t="str">
        <x:v>重庆</x:v>
      </x:c>
      <x:c r="E38" s="42" t="str">
        <x:v>是</x:v>
      </x:c>
      <x:c r="F38" s="44" t="n">
        <x:v>117.71</x:v>
      </x:c>
      <x:c r="G38" s="45" t="n">
        <x:f>1+COUNTIF($F$5:$F$104,"&gt;"&amp;F38)</x:f>
        <x:v>26</x:v>
      </x:c>
      <x:c r="H38" s="45" t="n">
        <x:f>G38-A38</x:f>
        <x:v>-8</x:v>
      </x:c>
      <x:c r="I38" s="46" t="n">
        <x:f>F38/C38</x:f>
        <x:v>0.26997706422018347</x:v>
      </x:c>
      <x:c r="J38" s="47" t="str">
        <x:v>https://www.cnur.com/detail/4350.html</x:v>
      </x:c>
    </x:row>
    <x:row r="39">
      <x:c r="A39" s="42" t="n">
        <x:v>35</x:v>
      </x:c>
      <x:c r="B39" s="42" t="str">
        <x:v>北京科技大学</x:v>
      </x:c>
      <x:c r="C39" s="43" t="n">
        <x:v>429.3</x:v>
      </x:c>
      <x:c r="D39" s="42" t="str">
        <x:v>北京</x:v>
      </x:c>
      <x:c r="E39" s="42" t="str">
        <x:v>是</x:v>
      </x:c>
      <x:c r="F39" s="44" t="n">
        <x:v>149.04</x:v>
      </x:c>
      <x:c r="G39" s="45" t="n">
        <x:f>1+COUNTIF($F$5:$F$104,"&gt;"&amp;F39)</x:f>
        <x:v>16</x:v>
      </x:c>
      <x:c r="H39" s="45" t="n">
        <x:f>G39-A39</x:f>
        <x:v>-19</x:v>
      </x:c>
      <x:c r="I39" s="46" t="n">
        <x:f>F39/C39</x:f>
        <x:v>0.3471698113207547</x:v>
      </x:c>
      <x:c r="J39" s="47" t="str">
        <x:v>https://www.cnur.com/detail/4350.html</x:v>
      </x:c>
    </x:row>
    <x:row r="40">
      <x:c r="A40" s="42" t="n">
        <x:v>36</x:v>
      </x:c>
      <x:c r="B40" s="42" t="str">
        <x:v>南京理工大学</x:v>
      </x:c>
      <x:c r="C40" s="43" t="n">
        <x:v>419.3</x:v>
      </x:c>
      <x:c r="D40" s="42" t="str">
        <x:v>江苏</x:v>
      </x:c>
      <x:c r="E40" s="42" t="str">
        <x:v>是</x:v>
      </x:c>
      <x:c r="F40" s="44" t="n">
        <x:v>100.34</x:v>
      </x:c>
      <x:c r="G40" s="45" t="n">
        <x:f>1+COUNTIF($F$5:$F$104,"&gt;"&amp;F40)</x:f>
        <x:v>33</x:v>
      </x:c>
      <x:c r="H40" s="45" t="n">
        <x:f>G40-A40</x:f>
        <x:v>-3</x:v>
      </x:c>
      <x:c r="I40" s="46" t="n">
        <x:f>F40/C40</x:f>
        <x:v>0.23930360124016217</x:v>
      </x:c>
      <x:c r="J40" s="47" t="str">
        <x:v>https://www.cnur.com/detail/4350.html</x:v>
      </x:c>
    </x:row>
    <x:row r="41">
      <x:c r="A41" s="42" t="n">
        <x:v>37</x:v>
      </x:c>
      <x:c r="B41" s="42" t="str">
        <x:v>南京航空航天大学</x:v>
      </x:c>
      <x:c r="C41" s="43" t="n">
        <x:v>417.4</x:v>
      </x:c>
      <x:c r="D41" s="42" t="str">
        <x:v>江苏</x:v>
      </x:c>
      <x:c r="E41" s="42" t="str">
        <x:v>是</x:v>
      </x:c>
      <x:c r="F41" s="44" t="n">
        <x:v>100.03</x:v>
      </x:c>
      <x:c r="G41" s="45" t="n">
        <x:f>1+COUNTIF($F$5:$F$104,"&gt;"&amp;F41)</x:f>
        <x:v>34</x:v>
      </x:c>
      <x:c r="H41" s="45" t="n">
        <x:f>G41-A41</x:f>
        <x:v>-3</x:v>
      </x:c>
      <x:c r="I41" s="46" t="n">
        <x:f>F41/C41</x:f>
        <x:v>0.23965021562050792</x:v>
      </x:c>
      <x:c r="J41" s="47" t="str">
        <x:v>https://www.cnur.com/detail/4350.html</x:v>
      </x:c>
    </x:row>
    <x:row r="42">
      <x:c r="A42" s="42" t="n">
        <x:v>38</x:v>
      </x:c>
      <x:c r="B42" s="42" t="str">
        <x:v>东北大学</x:v>
      </x:c>
      <x:c r="C42" s="43" t="n">
        <x:v>398.7</x:v>
      </x:c>
      <x:c r="D42" s="42" t="str">
        <x:v>辽宁</x:v>
      </x:c>
      <x:c r="E42" s="42" t="str">
        <x:v>是</x:v>
      </x:c>
      <x:c r="F42" s="44" t="n">
        <x:v>93.12</x:v>
      </x:c>
      <x:c r="G42" s="45" t="n">
        <x:f>1+COUNTIF($F$5:$F$104,"&gt;"&amp;F42)</x:f>
        <x:v>39</x:v>
      </x:c>
      <x:c r="H42" s="45" t="n">
        <x:f>G42-A42</x:f>
        <x:v>1</x:v>
      </x:c>
      <x:c r="I42" s="46" t="n">
        <x:f>F42/C42</x:f>
        <x:v>0.23355906696764486</x:v>
      </x:c>
      <x:c r="J42" s="47" t="str">
        <x:v>https://www.cnur.com/detail/4350.html</x:v>
      </x:c>
    </x:row>
    <x:row r="43">
      <x:c r="A43" s="42" t="n">
        <x:v>39</x:v>
      </x:c>
      <x:c r="B43" s="42" t="str">
        <x:v>西安电子科技大学</x:v>
      </x:c>
      <x:c r="C43" s="43" t="n">
        <x:v>391.5</x:v>
      </x:c>
      <x:c r="D43" s="42" t="str">
        <x:v>陕西</x:v>
      </x:c>
      <x:c r="E43" s="42" t="str">
        <x:v>是</x:v>
      </x:c>
      <x:c r="F43" s="44" t="n">
        <x:v>94.91</x:v>
      </x:c>
      <x:c r="G43" s="45" t="n">
        <x:f>1+COUNTIF($F$5:$F$104,"&gt;"&amp;F43)</x:f>
        <x:v>36</x:v>
      </x:c>
      <x:c r="H43" s="45" t="n">
        <x:f>G43-A43</x:f>
        <x:v>-3</x:v>
      </x:c>
      <x:c r="I43" s="46" t="n">
        <x:f>F43/C43</x:f>
        <x:v>0.24242656449553002</x:v>
      </x:c>
      <x:c r="J43" s="47" t="str">
        <x:v>https://www.cnur.com/detail/4350.html</x:v>
      </x:c>
    </x:row>
    <x:row r="44">
      <x:c r="A44" s="42" t="n">
        <x:v>40</x:v>
      </x:c>
      <x:c r="B44" s="42" t="str">
        <x:v>兰州大学</x:v>
      </x:c>
      <x:c r="C44" s="43" t="n">
        <x:v>388.4</x:v>
      </x:c>
      <x:c r="D44" s="42" t="str">
        <x:v>甘肃</x:v>
      </x:c>
      <x:c r="E44" s="42" t="str">
        <x:v>是</x:v>
      </x:c>
      <x:c r="F44" s="44" t="n">
        <x:v>81.45</x:v>
      </x:c>
      <x:c r="G44" s="45" t="n">
        <x:f>1+COUNTIF($F$5:$F$104,"&gt;"&amp;F44)</x:f>
        <x:v>43</x:v>
      </x:c>
      <x:c r="H44" s="45" t="n">
        <x:f>G44-A44</x:f>
        <x:v>3</x:v>
      </x:c>
      <x:c r="I44" s="46" t="n">
        <x:f>F44/C44</x:f>
        <x:v>0.20970648815653967</x:v>
      </x:c>
      <x:c r="J44" s="47" t="str">
        <x:v>https://www.cnur.com/detail/4350.html</x:v>
      </x:c>
    </x:row>
    <x:row r="45">
      <x:c r="A45" s="42" t="n">
        <x:v>41</x:v>
      </x:c>
      <x:c r="B45" s="42" t="str">
        <x:v>北京交通大学</x:v>
      </x:c>
      <x:c r="C45" s="43" t="n">
        <x:v>381.1</x:v>
      </x:c>
      <x:c r="D45" s="42" t="str">
        <x:v>北京</x:v>
      </x:c>
      <x:c r="E45" s="42" t="str">
        <x:v>是</x:v>
      </x:c>
      <x:c r="F45" s="44" t="n">
        <x:v>129.65</x:v>
      </x:c>
      <x:c r="G45" s="45" t="n">
        <x:f>1+COUNTIF($F$5:$F$104,"&gt;"&amp;F45)</x:f>
        <x:v>22</x:v>
      </x:c>
      <x:c r="H45" s="45" t="n">
        <x:f>G45-A45</x:f>
        <x:v>-19</x:v>
      </x:c>
      <x:c r="I45" s="46" t="n">
        <x:f>F45/C45</x:f>
        <x:v>0.3401994227236946</x:v>
      </x:c>
      <x:c r="J45" s="47" t="str">
        <x:v>https://www.cnur.com/detail/4350.html</x:v>
      </x:c>
    </x:row>
    <x:row r="46">
      <x:c r="A46" s="42" t="n">
        <x:v>42</x:v>
      </x:c>
      <x:c r="B46" s="42" t="str">
        <x:v>华东理工大学</x:v>
      </x:c>
      <x:c r="C46" s="43" t="n">
        <x:v>380.4</x:v>
      </x:c>
      <x:c r="D46" s="42" t="str">
        <x:v>上海</x:v>
      </x:c>
      <x:c r="E46" s="42" t="str">
        <x:v>是</x:v>
      </x:c>
      <x:c r="F46" s="44" t="n">
        <x:v>60.71</x:v>
      </x:c>
      <x:c r="G46" s="45" t="n">
        <x:f>1+COUNTIF($F$5:$F$104,"&gt;"&amp;F46)</x:f>
        <x:v>61</x:v>
      </x:c>
      <x:c r="H46" s="45" t="n">
        <x:f>G46-A46</x:f>
        <x:v>19</x:v>
      </x:c>
      <x:c r="I46" s="46" t="n">
        <x:f>F46/C46</x:f>
        <x:v>0.1595951629863302</x:v>
      </x:c>
      <x:c r="J46" s="47" t="str">
        <x:v>https://www.cnur.com/detail/4350.html</x:v>
      </x:c>
    </x:row>
    <x:row r="47">
      <x:c r="A47" s="42" t="n">
        <x:v>43</x:v>
      </x:c>
      <x:c r="B47" s="42" t="str">
        <x:v>哈尔滨工程大学</x:v>
      </x:c>
      <x:c r="C47" s="43" t="n">
        <x:v>380.1</x:v>
      </x:c>
      <x:c r="D47" s="42" t="str">
        <x:v>黑龙江</x:v>
      </x:c>
      <x:c r="E47" s="42" t="str">
        <x:v>是</x:v>
      </x:c>
      <x:c r="F47" s="44" t="n">
        <x:v>101.54</x:v>
      </x:c>
      <x:c r="G47" s="45" t="n">
        <x:f>1+COUNTIF($F$5:$F$104,"&gt;"&amp;F47)</x:f>
        <x:v>32</x:v>
      </x:c>
      <x:c r="H47" s="45" t="n">
        <x:f>G47-A47</x:f>
        <x:v>-11</x:v>
      </x:c>
      <x:c r="I47" s="46" t="n">
        <x:f>F47/C47</x:f>
        <x:v>0.26714022625624834</x:v>
      </x:c>
      <x:c r="J47" s="47" t="str">
        <x:v>https://www.cnur.com/detail/4350.html</x:v>
      </x:c>
    </x:row>
    <x:row r="48">
      <x:c r="A48" s="42" t="n">
        <x:v>44</x:v>
      </x:c>
      <x:c r="B48" s="42" t="str">
        <x:v>郑州大学</x:v>
      </x:c>
      <x:c r="C48" s="43" t="n">
        <x:v>380</x:v>
      </x:c>
      <x:c r="D48" s="42" t="str">
        <x:v>河南</x:v>
      </x:c>
      <x:c r="E48" s="42" t="str">
        <x:v>是</x:v>
      </x:c>
      <x:c r="F48" s="44" t="n">
        <x:v>57.2</x:v>
      </x:c>
      <x:c r="G48" s="45" t="n">
        <x:f>1+COUNTIF($F$5:$F$104,"&gt;"&amp;F48)</x:f>
        <x:v>64</x:v>
      </x:c>
      <x:c r="H48" s="45" t="n">
        <x:f>G48-A48</x:f>
        <x:v>20</x:v>
      </x:c>
      <x:c r="I48" s="46" t="n">
        <x:f>F48/C48</x:f>
        <x:v>0.1505263157894737</x:v>
      </x:c>
      <x:c r="J48" s="47" t="str">
        <x:v>https://www.cnur.com/detail/4350.html</x:v>
      </x:c>
    </x:row>
    <x:row r="49">
      <x:c r="A49" s="42" t="n">
        <x:v>45</x:v>
      </x:c>
      <x:c r="B49" s="42" t="str">
        <x:v>华中农业大学</x:v>
      </x:c>
      <x:c r="C49" s="43" t="n">
        <x:v>375.6</x:v>
      </x:c>
      <x:c r="D49" s="42" t="str">
        <x:v>湖北</x:v>
      </x:c>
      <x:c r="E49" s="42" t="str">
        <x:v>是</x:v>
      </x:c>
      <x:c r="F49" s="44" t="n">
        <x:v>60.47</x:v>
      </x:c>
      <x:c r="G49" s="45" t="n">
        <x:f>1+COUNTIF($F$5:$F$104,"&gt;"&amp;F49)</x:f>
        <x:v>62</x:v>
      </x:c>
      <x:c r="H49" s="45" t="n">
        <x:f>G49-A49</x:f>
        <x:v>17</x:v>
      </x:c>
      <x:c r="I49" s="46" t="n">
        <x:f>F49/C49</x:f>
        <x:v>0.16099574014909476</x:v>
      </x:c>
      <x:c r="J49" s="47" t="str">
        <x:v>https://www.cnur.com/detail/4350.html</x:v>
      </x:c>
    </x:row>
    <x:row r="50">
      <x:c r="A50" s="42" t="n">
        <x:v>46</x:v>
      </x:c>
      <x:c r="B50" s="42" t="str">
        <x:v>苏州大学</x:v>
      </x:c>
      <x:c r="C50" s="43" t="n">
        <x:v>374.4</x:v>
      </x:c>
      <x:c r="D50" s="42" t="str">
        <x:v>江苏</x:v>
      </x:c>
      <x:c r="E50" s="42" t="str">
        <x:v>是</x:v>
      </x:c>
      <x:c r="F50" s="44" t="n">
        <x:v>62.37</x:v>
      </x:c>
      <x:c r="G50" s="45" t="n">
        <x:f>1+COUNTIF($F$5:$F$104,"&gt;"&amp;F50)</x:f>
        <x:v>57</x:v>
      </x:c>
      <x:c r="H50" s="45" t="n">
        <x:f>G50-A50</x:f>
        <x:v>11</x:v>
      </x:c>
      <x:c r="I50" s="46" t="n">
        <x:f>F50/C50</x:f>
        <x:v>0.16658653846153845</x:v>
      </x:c>
      <x:c r="J50" s="47" t="str">
        <x:v>https://www.cnur.com/detail/4350.html</x:v>
      </x:c>
    </x:row>
    <x:row r="51">
      <x:c r="A51" s="42" t="n">
        <x:v>47</x:v>
      </x:c>
      <x:c r="B51" s="42" t="str">
        <x:v>上海科技大学</x:v>
      </x:c>
      <x:c r="C51" s="43" t="n">
        <x:v>373.4</x:v>
      </x:c>
      <x:c r="D51" s="42" t="str">
        <x:v>上海</x:v>
      </x:c>
      <x:c r="E51" s="42" t="str">
        <x:v>是</x:v>
      </x:c>
      <x:c r="F51" s="44" t="n">
        <x:v>22.91</x:v>
      </x:c>
      <x:c r="G51" s="45" t="n">
        <x:f>1+COUNTIF($F$5:$F$104,"&gt;"&amp;F51)</x:f>
        <x:v>97</x:v>
      </x:c>
      <x:c r="H51" s="45" t="n">
        <x:f>G51-A51</x:f>
        <x:v>50</x:v>
      </x:c>
      <x:c r="I51" s="46" t="n">
        <x:f>F51/C51</x:f>
        <x:v>0.061355115158007505</x:v>
      </x:c>
      <x:c r="J51" s="47" t="str">
        <x:v>https://www.cnur.com/detail/4350.html</x:v>
      </x:c>
    </x:row>
    <x:row r="52">
      <x:c r="A52" s="42" t="n">
        <x:v>48</x:v>
      </x:c>
      <x:c r="B52" s="42" t="str">
        <x:v>东北师范大学</x:v>
      </x:c>
      <x:c r="C52" s="43" t="n">
        <x:v>372.4</x:v>
      </x:c>
      <x:c r="D52" s="42" t="str">
        <x:v>吉林</x:v>
      </x:c>
      <x:c r="E52" s="42" t="str">
        <x:v>是</x:v>
      </x:c>
      <x:c r="F52" s="44" t="n">
        <x:v>34.81</x:v>
      </x:c>
      <x:c r="G52" s="45" t="n">
        <x:f>1+COUNTIF($F$5:$F$104,"&gt;"&amp;F52)</x:f>
        <x:v>82</x:v>
      </x:c>
      <x:c r="H52" s="45" t="n">
        <x:f>G52-A52</x:f>
        <x:v>34</x:v>
      </x:c>
      <x:c r="I52" s="46" t="n">
        <x:f>F52/C52</x:f>
        <x:v>0.0934747583243824</x:v>
      </x:c>
      <x:c r="J52" s="47" t="str">
        <x:v>https://www.cnur.com/detail/4350.html</x:v>
      </x:c>
    </x:row>
    <x:row r="53">
      <x:c r="A53" s="42" t="n">
        <x:v>49</x:v>
      </x:c>
      <x:c r="B53" s="42" t="str">
        <x:v>西南交通大学</x:v>
      </x:c>
      <x:c r="C53" s="43" t="n">
        <x:v>366.3</x:v>
      </x:c>
      <x:c r="D53" s="42" t="str">
        <x:v>四川</x:v>
      </x:c>
      <x:c r="E53" s="42" t="str">
        <x:v>是</x:v>
      </x:c>
      <x:c r="F53" s="44" t="n">
        <x:v>94.36</x:v>
      </x:c>
      <x:c r="G53" s="45" t="n">
        <x:f>1+COUNTIF($F$5:$F$104,"&gt;"&amp;F53)</x:f>
        <x:v>37</x:v>
      </x:c>
      <x:c r="H53" s="45" t="n">
        <x:f>G53-A53</x:f>
        <x:v>-12</x:v>
      </x:c>
      <x:c r="I53" s="46" t="n">
        <x:f>F53/C53</x:f>
        <x:v>0.2576030576030576</x:v>
      </x:c>
      <x:c r="J53" s="47" t="str">
        <x:v>https://www.cnur.com/detail/4350.html</x:v>
      </x:c>
    </x:row>
    <x:row r="54">
      <x:c r="A54" s="42" t="n">
        <x:v>50</x:v>
      </x:c>
      <x:c r="B54" s="42" t="str">
        <x:v>北京邮电大学</x:v>
      </x:c>
      <x:c r="C54" s="43" t="n">
        <x:v>360.3</x:v>
      </x:c>
      <x:c r="D54" s="42" t="str">
        <x:v>北京</x:v>
      </x:c>
      <x:c r="E54" s="42" t="str">
        <x:v>是</x:v>
      </x:c>
      <x:c r="F54" s="44" t="n">
        <x:v>64.91</x:v>
      </x:c>
      <x:c r="G54" s="45" t="n">
        <x:f>1+COUNTIF($F$5:$F$104,"&gt;"&amp;F54)</x:f>
        <x:v>52</x:v>
      </x:c>
      <x:c r="H54" s="45" t="n">
        <x:f>G54-A54</x:f>
        <x:v>2</x:v>
      </x:c>
      <x:c r="I54" s="46" t="n">
        <x:f>F54/C54</x:f>
        <x:v>0.18015542603386064</x:v>
      </x:c>
      <x:c r="J54" s="47" t="str">
        <x:v>https://www.cnur.com/detail/4350.html</x:v>
      </x:c>
    </x:row>
    <x:row r="55">
      <x:c r="A55" s="42" t="n">
        <x:v>51</x:v>
      </x:c>
      <x:c r="B55" s="42" t="str">
        <x:v>中国海洋大学</x:v>
      </x:c>
      <x:c r="C55" s="43" t="n">
        <x:v>359.2</x:v>
      </x:c>
      <x:c r="D55" s="42" t="str">
        <x:v>山东</x:v>
      </x:c>
      <x:c r="E55" s="42" t="str">
        <x:v>是</x:v>
      </x:c>
      <x:c r="F55" s="44" t="n">
        <x:v>62.98</x:v>
      </x:c>
      <x:c r="G55" s="45" t="n">
        <x:f>1+COUNTIF($F$5:$F$104,"&gt;"&amp;F55)</x:f>
        <x:v>55</x:v>
      </x:c>
      <x:c r="H55" s="45" t="n">
        <x:f>G55-A55</x:f>
        <x:v>4</x:v>
      </x:c>
      <x:c r="I55" s="46" t="n">
        <x:f>F55/C55</x:f>
        <x:v>0.17533407572383072</x:v>
      </x:c>
      <x:c r="J55" s="47" t="str">
        <x:v>https://www.cnur.com/detail/4350.html</x:v>
      </x:c>
    </x:row>
    <x:row r="56">
      <x:c r="A56" s="42" t="n">
        <x:v>52</x:v>
      </x:c>
      <x:c r="B56" s="42" t="str">
        <x:v>江南大学</x:v>
      </x:c>
      <x:c r="C56" s="43" t="n">
        <x:v>355.8</x:v>
      </x:c>
      <x:c r="D56" s="42" t="str">
        <x:v>江苏</x:v>
      </x:c>
      <x:c r="E56" s="42" t="str">
        <x:v>是</x:v>
      </x:c>
      <x:c r="F56" s="44" t="n">
        <x:v>61.73</x:v>
      </x:c>
      <x:c r="G56" s="45" t="n">
        <x:f>1+COUNTIF($F$5:$F$104,"&gt;"&amp;F56)</x:f>
        <x:v>60</x:v>
      </x:c>
      <x:c r="H56" s="45" t="n">
        <x:f>G56-A56</x:f>
        <x:v>8</x:v>
      </x:c>
      <x:c r="I56" s="46" t="n">
        <x:f>F56/C56</x:f>
        <x:v>0.1734963462619449</x:v>
      </x:c>
      <x:c r="J56" s="47" t="str">
        <x:v>https://www.cnur.com/detail/4350.html</x:v>
      </x:c>
    </x:row>
    <x:row r="57">
      <x:c r="A57" s="42" t="n">
        <x:v>53</x:v>
      </x:c>
      <x:c r="B57" s="42" t="str">
        <x:v>华中师范大学</x:v>
      </x:c>
      <x:c r="C57" s="43" t="n">
        <x:v>355.1</x:v>
      </x:c>
      <x:c r="D57" s="42" t="str">
        <x:v>湖北</x:v>
      </x:c>
      <x:c r="E57" s="42" t="str">
        <x:v>是</x:v>
      </x:c>
      <x:c r="F57" s="44" t="n">
        <x:v>52.67</x:v>
      </x:c>
      <x:c r="G57" s="45" t="n">
        <x:f>1+COUNTIF($F$5:$F$104,"&gt;"&amp;F57)</x:f>
        <x:v>69</x:v>
      </x:c>
      <x:c r="H57" s="45" t="n">
        <x:f>G57-A57</x:f>
        <x:v>16</x:v>
      </x:c>
      <x:c r="I57" s="46" t="n">
        <x:f>F57/C57</x:f>
        <x:v>0.14832441565756124</x:v>
      </x:c>
      <x:c r="J57" s="47" t="str">
        <x:v>https://www.cnur.com/detail/4350.html</x:v>
      </x:c>
    </x:row>
    <x:row r="58">
      <x:c r="A58" s="42" t="n">
        <x:v>54</x:v>
      </x:c>
      <x:c r="B58" s="42" t="str">
        <x:v>武汉理工大学</x:v>
      </x:c>
      <x:c r="C58" s="43" t="n">
        <x:v>351.9</x:v>
      </x:c>
      <x:c r="D58" s="42" t="str">
        <x:v>湖北</x:v>
      </x:c>
      <x:c r="E58" s="42" t="str">
        <x:v>是</x:v>
      </x:c>
      <x:c r="F58" s="44" t="n">
        <x:v>84.29</x:v>
      </x:c>
      <x:c r="G58" s="45" t="n">
        <x:f>1+COUNTIF($F$5:$F$104,"&gt;"&amp;F58)</x:f>
        <x:v>42</x:v>
      </x:c>
      <x:c r="H58" s="45" t="n">
        <x:f>G58-A58</x:f>
        <x:v>-12</x:v>
      </x:c>
      <x:c r="I58" s="46" t="n">
        <x:f>F58/C58</x:f>
        <x:v>0.23952827507814722</x:v>
      </x:c>
      <x:c r="J58" s="47" t="str">
        <x:v>https://www.cnur.com/detail/4350.html</x:v>
      </x:c>
    </x:row>
    <x:row r="59">
      <x:c r="A59" s="42" t="n">
        <x:v>55</x:v>
      </x:c>
      <x:c r="B59" s="42" t="str">
        <x:v>南京农业大学</x:v>
      </x:c>
      <x:c r="C59" s="43" t="n">
        <x:v>350.9</x:v>
      </x:c>
      <x:c r="D59" s="42" t="str">
        <x:v>江苏</x:v>
      </x:c>
      <x:c r="E59" s="42" t="str">
        <x:v>是</x:v>
      </x:c>
      <x:c r="F59" s="44" t="n">
        <x:v>62.19</x:v>
      </x:c>
      <x:c r="G59" s="45" t="n">
        <x:f>1+COUNTIF($F$5:$F$104,"&gt;"&amp;F59)</x:f>
        <x:v>59</x:v>
      </x:c>
      <x:c r="H59" s="45" t="n">
        <x:f>G59-A59</x:f>
        <x:v>4</x:v>
      </x:c>
      <x:c r="I59" s="46" t="n">
        <x:f>F59/C59</x:f>
        <x:v>0.17722998005129667</x:v>
      </x:c>
      <x:c r="J59" s="47" t="str">
        <x:v>https://www.cnur.com/detail/4350.html</x:v>
      </x:c>
    </x:row>
    <x:row r="60">
      <x:c r="A60" s="42" t="n">
        <x:v>56</x:v>
      </x:c>
      <x:c r="B60" s="42" t="str">
        <x:v>中国地质大学（武汉）</x:v>
      </x:c>
      <x:c r="C60" s="43" t="n">
        <x:v>350.8</x:v>
      </x:c>
      <x:c r="D60" s="42" t="str">
        <x:v>湖北</x:v>
      </x:c>
      <x:c r="E60" s="42" t="str">
        <x:v>是</x:v>
      </x:c>
      <x:c r="F60" s="44" t="n">
        <x:v>58.54</x:v>
      </x:c>
      <x:c r="G60" s="45" t="n">
        <x:f>1+COUNTIF($F$5:$F$104,"&gt;"&amp;F60)</x:f>
        <x:v>63</x:v>
      </x:c>
      <x:c r="H60" s="45" t="n">
        <x:f>G60-A60</x:f>
        <x:v>7</x:v>
      </x:c>
      <x:c r="I60" s="46" t="n">
        <x:f>F60/C60</x:f>
        <x:v>0.1668757126567845</x:v>
      </x:c>
      <x:c r="J60" s="47" t="str">
        <x:v>https://www.cnur.com/detail/4350.html</x:v>
      </x:c>
    </x:row>
    <x:row r="61">
      <x:c r="A61" s="42" t="n">
        <x:v>57</x:v>
      </x:c>
      <x:c r="B61" s="42" t="str">
        <x:v>北京化工大学</x:v>
      </x:c>
      <x:c r="C61" s="43" t="n">
        <x:v>345</x:v>
      </x:c>
      <x:c r="D61" s="42" t="str">
        <x:v>北京</x:v>
      </x:c>
      <x:c r="E61" s="42" t="str">
        <x:v>是</x:v>
      </x:c>
      <x:c r="F61" s="44" t="n">
        <x:v>45.66</x:v>
      </x:c>
      <x:c r="G61" s="45" t="n">
        <x:f>1+COUNTIF($F$5:$F$104,"&gt;"&amp;F61)</x:f>
        <x:v>74</x:v>
      </x:c>
      <x:c r="H61" s="45" t="n">
        <x:f>G61-A61</x:f>
        <x:v>17</x:v>
      </x:c>
      <x:c r="I61" s="46" t="n">
        <x:f>F61/C61</x:f>
        <x:v>0.1323478260869565</x:v>
      </x:c>
      <x:c r="J61" s="47" t="str">
        <x:v>https://www.cnur.com/detail/4350.html</x:v>
      </x:c>
    </x:row>
    <x:row r="62">
      <x:c r="A62" s="42" t="n">
        <x:v>58</x:v>
      </x:c>
      <x:c r="B62" s="42" t="str">
        <x:v>南京师范大学</x:v>
      </x:c>
      <x:c r="C62" s="43" t="n">
        <x:v>344.4</x:v>
      </x:c>
      <x:c r="D62" s="42" t="str">
        <x:v>江苏</x:v>
      </x:c>
      <x:c r="E62" s="42" t="str">
        <x:v>是</x:v>
      </x:c>
      <x:c r="F62" s="44" t="n">
        <x:v>27.99</x:v>
      </x:c>
      <x:c r="G62" s="45" t="n">
        <x:f>1+COUNTIF($F$5:$F$104,"&gt;"&amp;F62)</x:f>
        <x:v>90</x:v>
      </x:c>
      <x:c r="H62" s="45" t="n">
        <x:f>G62-A62</x:f>
        <x:v>32</x:v>
      </x:c>
      <x:c r="I62" s="46" t="n">
        <x:f>F62/C62</x:f>
        <x:v>0.08127177700348433</x:v>
      </x:c>
      <x:c r="J62" s="47" t="str">
        <x:v>https://www.cnur.com/detail/4350.html</x:v>
      </x:c>
    </x:row>
    <x:row r="63">
      <x:c r="A63" s="42" t="n">
        <x:v>59</x:v>
      </x:c>
      <x:c r="B63" s="42" t="str">
        <x:v>暨南大学</x:v>
      </x:c>
      <x:c r="C63" s="43" t="n">
        <x:v>343.5</x:v>
      </x:c>
      <x:c r="D63" s="42" t="str">
        <x:v>广东</x:v>
      </x:c>
      <x:c r="E63" s="42" t="str">
        <x:v>是</x:v>
      </x:c>
      <x:c r="F63" s="44" t="n">
        <x:v>77.63</x:v>
      </x:c>
      <x:c r="G63" s="45" t="n">
        <x:f>1+COUNTIF($F$5:$F$104,"&gt;"&amp;F63)</x:f>
        <x:v>45</x:v>
      </x:c>
      <x:c r="H63" s="45" t="n">
        <x:f>G63-A63</x:f>
        <x:v>-14</x:v>
      </x:c>
      <x:c r="I63" s="46" t="n">
        <x:f>F63/C63</x:f>
        <x:v>0.2259970887918486</x:v>
      </x:c>
      <x:c r="J63" s="47" t="str">
        <x:v>https://www.cnur.com/detail/4350.html</x:v>
      </x:c>
    </x:row>
    <x:row r="64">
      <x:c r="A64" s="42" t="n">
        <x:v>60</x:v>
      </x:c>
      <x:c r="B64" s="42" t="str">
        <x:v>上海大学</x:v>
      </x:c>
      <x:c r="C64" s="43" t="n">
        <x:v>343.3</x:v>
      </x:c>
      <x:c r="D64" s="42" t="str">
        <x:v>上海</x:v>
      </x:c>
      <x:c r="E64" s="42" t="str">
        <x:v>是</x:v>
      </x:c>
      <x:c r="F64" s="44" t="n">
        <x:v>53.65</x:v>
      </x:c>
      <x:c r="G64" s="45" t="n">
        <x:f>1+COUNTIF($F$5:$F$104,"&gt;"&amp;F64)</x:f>
        <x:v>68</x:v>
      </x:c>
      <x:c r="H64" s="45" t="n">
        <x:f>G64-A64</x:f>
        <x:v>8</x:v>
      </x:c>
      <x:c r="I64" s="46" t="n">
        <x:f>F64/C64</x:f>
        <x:v>0.1562773084765511</x:v>
      </x:c>
      <x:c r="J64" s="47" t="str">
        <x:v>https://www.cnur.com/detail/4350.html</x:v>
      </x:c>
    </x:row>
    <x:row r="65">
      <x:c r="A65" s="42" t="n">
        <x:v>61</x:v>
      </x:c>
      <x:c r="B65" s="42" t="str">
        <x:v>西南大学</x:v>
      </x:c>
      <x:c r="C65" s="43" t="n">
        <x:v>343</x:v>
      </x:c>
      <x:c r="D65" s="42" t="str">
        <x:v>重庆</x:v>
      </x:c>
      <x:c r="E65" s="42" t="str">
        <x:v>是</x:v>
      </x:c>
      <x:c r="F65" s="44" t="n">
        <x:v>62.52</x:v>
      </x:c>
      <x:c r="G65" s="45" t="n">
        <x:f>1+COUNTIF($F$5:$F$104,"&gt;"&amp;F65)</x:f>
        <x:v>56</x:v>
      </x:c>
      <x:c r="H65" s="45" t="n">
        <x:f>G65-A65</x:f>
        <x:v>-5</x:v>
      </x:c>
      <x:c r="I65" s="46" t="n">
        <x:f>F65/C65</x:f>
        <x:v>0.1822740524781341</x:v>
      </x:c>
      <x:c r="J65" s="47" t="str">
        <x:v>https://www.cnur.com/detail/4350.html</x:v>
      </x:c>
    </x:row>
    <x:row r="66">
      <x:c r="A66" s="42" t="n">
        <x:v>62</x:v>
      </x:c>
      <x:c r="B66" s="42" t="str">
        <x:v>中国石油大学（北京）</x:v>
      </x:c>
      <x:c r="C66" s="43" t="n">
        <x:v>342.7</x:v>
      </x:c>
      <x:c r="D66" s="42" t="str">
        <x:v>北京</x:v>
      </x:c>
      <x:c r="E66" s="42" t="str">
        <x:v>是</x:v>
      </x:c>
      <x:c r="F66" s="44" t="n">
        <x:v>64.73</x:v>
      </x:c>
      <x:c r="G66" s="45" t="n">
        <x:f>1+COUNTIF($F$5:$F$104,"&gt;"&amp;F66)</x:f>
        <x:v>53</x:v>
      </x:c>
      <x:c r="H66" s="45" t="n">
        <x:f>G66-A66</x:f>
        <x:v>-9</x:v>
      </x:c>
      <x:c r="I66" s="46" t="n">
        <x:f>F66/C66</x:f>
        <x:v>0.18888240443536622</x:v>
      </x:c>
      <x:c r="J66" s="47" t="str">
        <x:v>https://www.cnur.com/detail/4350.html</x:v>
      </x:c>
    </x:row>
    <x:row r="67">
      <x:c r="A67" s="42" t="n">
        <x:v>63</x:v>
      </x:c>
      <x:c r="B67" s="42" t="str">
        <x:v>河海大学</x:v>
      </x:c>
      <x:c r="C67" s="43" t="n">
        <x:v>342</x:v>
      </x:c>
      <x:c r="D67" s="42" t="str">
        <x:v>江苏</x:v>
      </x:c>
      <x:c r="E67" s="42" t="str">
        <x:v>是</x:v>
      </x:c>
      <x:c r="F67" s="44" t="n">
        <x:v>63.5</x:v>
      </x:c>
      <x:c r="G67" s="45" t="n">
        <x:f>1+COUNTIF($F$5:$F$104,"&gt;"&amp;F67)</x:f>
        <x:v>54</x:v>
      </x:c>
      <x:c r="H67" s="45" t="n">
        <x:f>G67-A67</x:f>
        <x:v>-9</x:v>
      </x:c>
      <x:c r="I67" s="46" t="n">
        <x:f>F67/C67</x:f>
        <x:v>0.18567251461988304</x:v>
      </x:c>
      <x:c r="J67" s="47" t="str">
        <x:v>https://www.cnur.com/detail/4350.html</x:v>
      </x:c>
    </x:row>
    <x:row r="68">
      <x:c r="A68" s="42" t="n">
        <x:v>63</x:v>
      </x:c>
      <x:c r="B68" s="42" t="str">
        <x:v>陕西师范大学</x:v>
      </x:c>
      <x:c r="C68" s="43" t="n">
        <x:v>342</x:v>
      </x:c>
      <x:c r="D68" s="42" t="str">
        <x:v>陕西</x:v>
      </x:c>
      <x:c r="E68" s="42" t="str">
        <x:v>是</x:v>
      </x:c>
      <x:c r="F68" s="44" t="n">
        <x:v>40.77</x:v>
      </x:c>
      <x:c r="G68" s="45" t="n">
        <x:f>1+COUNTIF($F$5:$F$104,"&gt;"&amp;F68)</x:f>
        <x:v>79</x:v>
      </x:c>
      <x:c r="H68" s="45" t="n">
        <x:f>G68-A68</x:f>
        <x:v>16</x:v>
      </x:c>
      <x:c r="I68" s="46" t="n">
        <x:f>F68/C68</x:f>
        <x:v>0.11921052631578949</x:v>
      </x:c>
      <x:c r="J68" s="47" t="str">
        <x:v>https://www.cnur.com/detail/4350.html</x:v>
      </x:c>
    </x:row>
    <x:row r="69">
      <x:c r="A69" s="42" t="n">
        <x:v>65</x:v>
      </x:c>
      <x:c r="B69" s="42" t="str">
        <x:v>北京工业大学</x:v>
      </x:c>
      <x:c r="C69" s="43" t="n">
        <x:v>341.5</x:v>
      </x:c>
      <x:c r="D69" s="42" t="str">
        <x:v>北京</x:v>
      </x:c>
      <x:c r="E69" s="42" t="str">
        <x:v>是</x:v>
      </x:c>
      <x:c r="F69" s="44" t="n">
        <x:v>66.47</x:v>
      </x:c>
      <x:c r="G69" s="45" t="n">
        <x:f>1+COUNTIF($F$5:$F$104,"&gt;"&amp;F69)</x:f>
        <x:v>51</x:v>
      </x:c>
      <x:c r="H69" s="45" t="n">
        <x:f>G69-A69</x:f>
        <x:v>-14</x:v>
      </x:c>
      <x:c r="I69" s="46" t="n">
        <x:f>F69/C69</x:f>
        <x:v>0.19464128843338213</x:v>
      </x:c>
      <x:c r="J69" s="47" t="str">
        <x:v>https://www.cnur.com/detail/4350.html</x:v>
      </x:c>
    </x:row>
    <x:row r="70">
      <x:c r="A70" s="42" t="n">
        <x:v>66</x:v>
      </x:c>
      <x:c r="B70" s="42" t="str">
        <x:v>深圳大学</x:v>
      </x:c>
      <x:c r="C70" s="43" t="n">
        <x:v>341.4</x:v>
      </x:c>
      <x:c r="D70" s="42" t="str">
        <x:v>广东</x:v>
      </x:c>
      <x:c r="E70" s="42" t="str">
        <x:v>否</x:v>
      </x:c>
      <x:c r="F70" s="44" t="n">
        <x:v>70.53</x:v>
      </x:c>
      <x:c r="G70" s="45" t="n">
        <x:f>1+COUNTIF($F$5:$F$104,"&gt;"&amp;F70)</x:f>
        <x:v>49</x:v>
      </x:c>
      <x:c r="H70" s="45" t="n">
        <x:f>G70-A70</x:f>
        <x:v>-17</x:v>
      </x:c>
      <x:c r="I70" s="46" t="n">
        <x:f>F70/C70</x:f>
        <x:v>0.20659050966608086</x:v>
      </x:c>
      <x:c r="J70" s="47" t="str">
        <x:v>https://www.cnur.com/detail/4350.html</x:v>
      </x:c>
    </x:row>
    <x:row r="71">
      <x:c r="A71" s="42" t="n">
        <x:v>67</x:v>
      </x:c>
      <x:c r="B71" s="42" t="str">
        <x:v>中国矿业大学</x:v>
      </x:c>
      <x:c r="C71" s="43" t="n">
        <x:v>335.7</x:v>
      </x:c>
      <x:c r="D71" s="42" t="str">
        <x:v>江苏</x:v>
      </x:c>
      <x:c r="E71" s="42" t="str">
        <x:v>是</x:v>
      </x:c>
      <x:c r="F71" s="44" t="n">
        <x:v>66.95</x:v>
      </x:c>
      <x:c r="G71" s="45" t="n">
        <x:f>1+COUNTIF($F$5:$F$104,"&gt;"&amp;F71)</x:f>
        <x:v>50</x:v>
      </x:c>
      <x:c r="H71" s="45" t="n">
        <x:f>G71-A71</x:f>
        <x:v>-17</x:v>
      </x:c>
      <x:c r="I71" s="46" t="n">
        <x:f>F71/C71</x:f>
        <x:v>0.19943401846887104</x:v>
      </x:c>
      <x:c r="J71" s="47" t="str">
        <x:v>https://www.cnur.com/detail/4350.html</x:v>
      </x:c>
    </x:row>
    <x:row r="72">
      <x:c r="A72" s="42" t="n">
        <x:v>68</x:v>
      </x:c>
      <x:c r="B72" s="42" t="str">
        <x:v>浙江工业大学</x:v>
      </x:c>
      <x:c r="C72" s="43" t="n">
        <x:v>334.4</x:v>
      </x:c>
      <x:c r="D72" s="42" t="str">
        <x:v>浙江</x:v>
      </x:c>
      <x:c r="E72" s="42" t="str">
        <x:v>否</x:v>
      </x:c>
      <x:c r="F72" s="44" t="n">
        <x:v>43.5</x:v>
      </x:c>
      <x:c r="G72" s="45" t="n">
        <x:f>1+COUNTIF($F$5:$F$104,"&gt;"&amp;F72)</x:f>
        <x:v>75</x:v>
      </x:c>
      <x:c r="H72" s="45" t="n">
        <x:f>G72-A72</x:f>
        <x:v>7</x:v>
      </x:c>
      <x:c r="I72" s="46" t="n">
        <x:f>F72/C72</x:f>
        <x:v>0.13008373205741627</x:v>
      </x:c>
      <x:c r="J72" s="47" t="str">
        <x:v>https://www.cnur.com/detail/4350.html</x:v>
      </x:c>
    </x:row>
    <x:row r="73">
      <x:c r="A73" s="42" t="n">
        <x:v>69</x:v>
      </x:c>
      <x:c r="B73" s="42" t="str">
        <x:v>西北农林科技大学</x:v>
      </x:c>
      <x:c r="C73" s="43" t="n">
        <x:v>330.7</x:v>
      </x:c>
      <x:c r="D73" s="42" t="str">
        <x:v>陕西</x:v>
      </x:c>
      <x:c r="E73" s="42" t="str">
        <x:v>是</x:v>
      </x:c>
      <x:c r="F73" s="44" t="n">
        <x:v>87.74</x:v>
      </x:c>
      <x:c r="G73" s="45" t="n">
        <x:f>1+COUNTIF($F$5:$F$104,"&gt;"&amp;F73)</x:f>
        <x:v>40</x:v>
      </x:c>
      <x:c r="H73" s="45" t="n">
        <x:f>G73-A73</x:f>
        <x:v>-29</x:v>
      </x:c>
      <x:c r="I73" s="46" t="n">
        <x:f>F73/C73</x:f>
        <x:v>0.2653159963713335</x:v>
      </x:c>
      <x:c r="J73" s="47" t="str">
        <x:v>https://www.cnur.com/detail/4350.html</x:v>
      </x:c>
    </x:row>
    <x:row r="74">
      <x:c r="A74" s="42" t="n">
        <x:v>70</x:v>
      </x:c>
      <x:c r="B74" s="42" t="str">
        <x:v>西北大学</x:v>
      </x:c>
      <x:c r="C74" s="43" t="n">
        <x:v>329.7</x:v>
      </x:c>
      <x:c r="D74" s="42" t="str">
        <x:v>陕西</x:v>
      </x:c>
      <x:c r="E74" s="42" t="str">
        <x:v>是</x:v>
      </x:c>
      <x:c r="F74" s="44" t="n">
        <x:v>27.08</x:v>
      </x:c>
      <x:c r="G74" s="45" t="n">
        <x:f>1+COUNTIF($F$5:$F$104,"&gt;"&amp;F74)</x:f>
        <x:v>92</x:v>
      </x:c>
      <x:c r="H74" s="45" t="n">
        <x:f>G74-A74</x:f>
        <x:v>22</x:v>
      </x:c>
      <x:c r="I74" s="46" t="n">
        <x:f>F74/C74</x:f>
        <x:v>0.08213527449196238</x:v>
      </x:c>
      <x:c r="J74" s="47" t="str">
        <x:v>https://www.cnur.com/detail/4350.html</x:v>
      </x:c>
    </x:row>
    <x:row r="75">
      <x:c r="A75" s="42" t="n">
        <x:v>71</x:v>
      </x:c>
      <x:c r="B75" s="42" t="str">
        <x:v>云南大学</x:v>
      </x:c>
      <x:c r="C75" s="43" t="n">
        <x:v>325.8</x:v>
      </x:c>
      <x:c r="D75" s="42" t="str">
        <x:v>云南</x:v>
      </x:c>
      <x:c r="E75" s="42" t="str">
        <x:v>是</x:v>
      </x:c>
      <x:c r="F75" s="44" t="n">
        <x:v>29.81</x:v>
      </x:c>
      <x:c r="G75" s="45" t="n">
        <x:f>1+COUNTIF($F$5:$F$104,"&gt;"&amp;F75)</x:f>
        <x:v>89</x:v>
      </x:c>
      <x:c r="H75" s="45" t="n">
        <x:f>G75-A75</x:f>
        <x:v>18</x:v>
      </x:c>
      <x:c r="I75" s="46" t="n">
        <x:f>F75/C75</x:f>
        <x:v>0.09149785144260282</x:v>
      </x:c>
      <x:c r="J75" s="47" t="str">
        <x:v>https://www.cnur.com/detail/4350.html</x:v>
      </x:c>
    </x:row>
    <x:row r="76">
      <x:c r="A76" s="42" t="n">
        <x:v>72</x:v>
      </x:c>
      <x:c r="B76" s="42" t="str">
        <x:v>东华大学</x:v>
      </x:c>
      <x:c r="C76" s="43" t="n">
        <x:v>317.4</x:v>
      </x:c>
      <x:c r="D76" s="42" t="str">
        <x:v>上海</x:v>
      </x:c>
      <x:c r="E76" s="42" t="str">
        <x:v>是</x:v>
      </x:c>
      <x:c r="F76" s="44" t="n">
        <x:v>40.87</x:v>
      </x:c>
      <x:c r="G76" s="45" t="n">
        <x:f>1+COUNTIF($F$5:$F$104,"&gt;"&amp;F76)</x:f>
        <x:v>78</x:v>
      </x:c>
      <x:c r="H76" s="45" t="n">
        <x:f>G76-A76</x:f>
        <x:v>6</x:v>
      </x:c>
      <x:c r="I76" s="46" t="n">
        <x:f>F76/C76</x:f>
        <x:v>0.12876496534341525</x:v>
      </x:c>
      <x:c r="J76" s="47" t="str">
        <x:v>https://www.cnur.com/detail/4350.html</x:v>
      </x:c>
    </x:row>
    <x:row r="77">
      <x:c r="A77" s="42" t="n">
        <x:v>73</x:v>
      </x:c>
      <x:c r="B77" s="42" t="str">
        <x:v>中国石油大学（华东）</x:v>
      </x:c>
      <x:c r="C77" s="43" t="n">
        <x:v>316.3</x:v>
      </x:c>
      <x:c r="D77" s="42" t="str">
        <x:v>山东</x:v>
      </x:c>
      <x:c r="E77" s="42" t="str">
        <x:v>是</x:v>
      </x:c>
      <x:c r="F77" s="44" t="n">
        <x:v>51.4</x:v>
      </x:c>
      <x:c r="G77" s="45" t="n">
        <x:f>1+COUNTIF($F$5:$F$104,"&gt;"&amp;F77)</x:f>
        <x:v>70</x:v>
      </x:c>
      <x:c r="H77" s="45" t="n">
        <x:f>G77-A77</x:f>
        <x:v>-3</x:v>
      </x:c>
      <x:c r="I77" s="46" t="n">
        <x:f>F77/C77</x:f>
        <x:v>0.1625039519443566</x:v>
      </x:c>
      <x:c r="J77" s="47" t="str">
        <x:v>https://www.cnur.com/detail/4350.html</x:v>
      </x:c>
    </x:row>
    <x:row r="78">
      <x:c r="A78" s="42" t="n">
        <x:v>74</x:v>
      </x:c>
      <x:c r="B78" s="42" t="str">
        <x:v>南昌大学</x:v>
      </x:c>
      <x:c r="C78" s="43" t="n">
        <x:v>314.5</x:v>
      </x:c>
      <x:c r="D78" s="42" t="str">
        <x:v>江西</x:v>
      </x:c>
      <x:c r="E78" s="42" t="str">
        <x:v>是</x:v>
      </x:c>
      <x:c r="F78" s="44" t="n">
        <x:v>55.5</x:v>
      </x:c>
      <x:c r="G78" s="45" t="n">
        <x:f>1+COUNTIF($F$5:$F$104,"&gt;"&amp;F78)</x:f>
        <x:v>66</x:v>
      </x:c>
      <x:c r="H78" s="45" t="n">
        <x:f>G78-A78</x:f>
        <x:v>-8</x:v>
      </x:c>
      <x:c r="I78" s="46" t="n">
        <x:f>F78/C78</x:f>
        <x:v>0.17647058823529413</x:v>
      </x:c>
      <x:c r="J78" s="47" t="str">
        <x:v>https://www.cnur.com/detail/4350.html</x:v>
      </x:c>
    </x:row>
    <x:row r="79">
      <x:c r="A79" s="42" t="n">
        <x:v>75</x:v>
      </x:c>
      <x:c r="B79" s="42" t="str">
        <x:v>中国地质大学（北京）</x:v>
      </x:c>
      <x:c r="C79" s="43" t="n">
        <x:v>314.2</x:v>
      </x:c>
      <x:c r="D79" s="42" t="str">
        <x:v>北京</x:v>
      </x:c>
      <x:c r="E79" s="42" t="str">
        <x:v>是</x:v>
      </x:c>
      <x:c r="F79" s="44" t="n">
        <x:v>75.41</x:v>
      </x:c>
      <x:c r="G79" s="45" t="n">
        <x:f>1+COUNTIF($F$5:$F$104,"&gt;"&amp;F79)</x:f>
        <x:v>46</x:v>
      </x:c>
      <x:c r="H79" s="45" t="n">
        <x:f>G79-A79</x:f>
        <x:v>-29</x:v>
      </x:c>
      <x:c r="I79" s="46" t="n">
        <x:f>F79/C79</x:f>
        <x:v>0.24000636537237427</x:v>
      </x:c>
      <x:c r="J79" s="47" t="str">
        <x:v>https://www.cnur.com/detail/4350.html</x:v>
      </x:c>
    </x:row>
    <x:row r="80">
      <x:c r="A80" s="42" t="n">
        <x:v>76</x:v>
      </x:c>
      <x:c r="B80" s="42" t="str">
        <x:v>中国矿业大学（北京）</x:v>
      </x:c>
      <x:c r="C80" s="43" t="n">
        <x:v>313.7</x:v>
      </x:c>
      <x:c r="D80" s="42" t="str">
        <x:v>北京</x:v>
      </x:c>
      <x:c r="E80" s="42" t="str">
        <x:v>是</x:v>
      </x:c>
      <x:c r="F80" s="44" t="n">
        <x:v>34.61</x:v>
      </x:c>
      <x:c r="G80" s="45" t="n">
        <x:f>1+COUNTIF($F$5:$F$104,"&gt;"&amp;F80)</x:f>
        <x:v>84</x:v>
      </x:c>
      <x:c r="H80" s="45" t="n">
        <x:f>G80-A80</x:f>
        <x:v>8</x:v>
      </x:c>
      <x:c r="I80" s="46" t="n">
        <x:f>F80/C80</x:f>
        <x:v>0.11032833917755817</x:v>
      </x:c>
      <x:c r="J80" s="47" t="str">
        <x:v>https://www.cnur.com/detail/4350.html</x:v>
      </x:c>
    </x:row>
    <x:row r="81">
      <x:c r="A81" s="42" t="n">
        <x:v>77</x:v>
      </x:c>
      <x:c r="B81" s="42" t="str">
        <x:v>福州大学</x:v>
      </x:c>
      <x:c r="C81" s="43" t="n">
        <x:v>310.5</x:v>
      </x:c>
      <x:c r="D81" s="42" t="str">
        <x:v>福建</x:v>
      </x:c>
      <x:c r="E81" s="42" t="str">
        <x:v>是</x:v>
      </x:c>
      <x:c r="F81" s="44" t="n">
        <x:v>37.04</x:v>
      </x:c>
      <x:c r="G81" s="45" t="n">
        <x:f>1+COUNTIF($F$5:$F$104,"&gt;"&amp;F81)</x:f>
        <x:v>81</x:v>
      </x:c>
      <x:c r="H81" s="45" t="n">
        <x:f>G81-A81</x:f>
        <x:v>4</x:v>
      </x:c>
      <x:c r="I81" s="46" t="n">
        <x:f>F81/C81</x:f>
        <x:v>0.1192914653784219</x:v>
      </x:c>
      <x:c r="J81" s="47" t="str">
        <x:v>https://www.cnur.com/detail/4350.html</x:v>
      </x:c>
    </x:row>
    <x:row r="82">
      <x:c r="A82" s="42" t="n">
        <x:v>78</x:v>
      </x:c>
      <x:c r="B82" s="42" t="str">
        <x:v>宁波大学</x:v>
      </x:c>
      <x:c r="C82" s="43" t="n">
        <x:v>310.3</x:v>
      </x:c>
      <x:c r="D82" s="42" t="str">
        <x:v>浙江</x:v>
      </x:c>
      <x:c r="E82" s="42" t="str">
        <x:v>是</x:v>
      </x:c>
      <x:c r="F82" s="44" t="n">
        <x:v>47.07</x:v>
      </x:c>
      <x:c r="G82" s="45" t="n">
        <x:f>1+COUNTIF($F$5:$F$104,"&gt;"&amp;F82)</x:f>
        <x:v>72</x:v>
      </x:c>
      <x:c r="H82" s="45" t="n">
        <x:f>G82-A82</x:f>
        <x:v>-6</x:v>
      </x:c>
      <x:c r="I82" s="46" t="n">
        <x:f>F82/C82</x:f>
        <x:v>0.15169191105381888</x:v>
      </x:c>
      <x:c r="J82" s="47" t="str">
        <x:v>https://www.cnur.com/detail/4350.html</x:v>
      </x:c>
    </x:row>
    <x:row r="83">
      <x:c r="A83" s="42" t="n">
        <x:v>79</x:v>
      </x:c>
      <x:c r="B83" s="42" t="str">
        <x:v>华南师范大学</x:v>
      </x:c>
      <x:c r="C83" s="43" t="n">
        <x:v>306.6</x:v>
      </x:c>
      <x:c r="D83" s="42" t="str">
        <x:v>广东</x:v>
      </x:c>
      <x:c r="E83" s="42" t="str">
        <x:v>是</x:v>
      </x:c>
      <x:c r="F83" s="44" t="n">
        <x:v>34.69</x:v>
      </x:c>
      <x:c r="G83" s="45" t="n">
        <x:f>1+COUNTIF($F$5:$F$104,"&gt;"&amp;F83)</x:f>
        <x:v>83</x:v>
      </x:c>
      <x:c r="H83" s="45" t="n">
        <x:f>G83-A83</x:f>
        <x:v>4</x:v>
      </x:c>
      <x:c r="I83" s="46" t="n">
        <x:f>F83/C83</x:f>
        <x:v>0.11314416177429874</x:v>
      </x:c>
      <x:c r="J83" s="47" t="str">
        <x:v>https://www.cnur.com/detail/4350.html</x:v>
      </x:c>
    </x:row>
    <x:row r="84">
      <x:c r="A84" s="42" t="n">
        <x:v>80</x:v>
      </x:c>
      <x:c r="B84" s="42" t="str">
        <x:v>合肥工业大学</x:v>
      </x:c>
      <x:c r="C84" s="43" t="n">
        <x:v>304.8</x:v>
      </x:c>
      <x:c r="D84" s="42" t="str">
        <x:v>安徽</x:v>
      </x:c>
      <x:c r="E84" s="42" t="str">
        <x:v>是</x:v>
      </x:c>
      <x:c r="F84" s="44" t="n">
        <x:v>73.63</x:v>
      </x:c>
      <x:c r="G84" s="45" t="n">
        <x:f>1+COUNTIF($F$5:$F$104,"&gt;"&amp;F84)</x:f>
        <x:v>48</x:v>
      </x:c>
      <x:c r="H84" s="45" t="n">
        <x:f>G84-A84</x:f>
        <x:v>-32</x:v>
      </x:c>
      <x:c r="I84" s="46" t="n">
        <x:f>F84/C84</x:f>
        <x:v>0.24156824146981626</x:v>
      </x:c>
      <x:c r="J84" s="47" t="str">
        <x:v>https://www.cnur.com/detail/4350.html</x:v>
      </x:c>
    </x:row>
    <x:row r="85">
      <x:c r="A85" s="42" t="n">
        <x:v>81</x:v>
      </x:c>
      <x:c r="B85" s="42" t="str">
        <x:v>江苏大学</x:v>
      </x:c>
      <x:c r="C85" s="43" t="n">
        <x:v>301.3</x:v>
      </x:c>
      <x:c r="D85" s="42" t="str">
        <x:v>江苏</x:v>
      </x:c>
      <x:c r="E85" s="42" t="str">
        <x:v>否</x:v>
      </x:c>
      <x:c r="F85" s="44" t="n">
        <x:v>26.76</x:v>
      </x:c>
      <x:c r="G85" s="45" t="n">
        <x:f>1+COUNTIF($F$5:$F$104,"&gt;"&amp;F85)</x:f>
        <x:v>94</x:v>
      </x:c>
      <x:c r="H85" s="45" t="n">
        <x:f>G85-A85</x:f>
        <x:v>13</x:v>
      </x:c>
      <x:c r="I85" s="46" t="n">
        <x:f>F85/C85</x:f>
        <x:v>0.08881513441752406</x:v>
      </x:c>
      <x:c r="J85" s="47" t="str">
        <x:v>https://www.cnur.com/detail/4350.html</x:v>
      </x:c>
    </x:row>
    <x:row r="86">
      <x:c r="A86" s="42" t="n">
        <x:v>82</x:v>
      </x:c>
      <x:c r="B86" s="42" t="str">
        <x:v>南京邮电大学</x:v>
      </x:c>
      <x:c r="C86" s="43" t="n">
        <x:v>297.9</x:v>
      </x:c>
      <x:c r="D86" s="42" t="str">
        <x:v>江苏</x:v>
      </x:c>
      <x:c r="E86" s="42" t="str">
        <x:v>是</x:v>
      </x:c>
      <x:c r="F86" s="44" t="n">
        <x:v>20.11</x:v>
      </x:c>
      <x:c r="G86" s="45" t="n">
        <x:f>1+COUNTIF($F$5:$F$104,"&gt;"&amp;F86)</x:f>
        <x:v>99</x:v>
      </x:c>
      <x:c r="H86" s="45" t="n">
        <x:f>G86-A86</x:f>
        <x:v>17</x:v>
      </x:c>
      <x:c r="I86" s="46" t="n">
        <x:f>F86/C86</x:f>
        <x:v>0.06750587445451495</x:v>
      </x:c>
      <x:c r="J86" s="47" t="str">
        <x:v>https://www.cnur.com/detail/4350.html</x:v>
      </x:c>
    </x:row>
    <x:row r="87">
      <x:c r="A87" s="42" t="n">
        <x:v>83</x:v>
      </x:c>
      <x:c r="B87" s="42" t="str">
        <x:v>北京林业大学</x:v>
      </x:c>
      <x:c r="C87" s="43" t="n">
        <x:v>294.9</x:v>
      </x:c>
      <x:c r="D87" s="42" t="str">
        <x:v>北京</x:v>
      </x:c>
      <x:c r="E87" s="42" t="str">
        <x:v>是</x:v>
      </x:c>
      <x:c r="F87" s="44" t="n">
        <x:v>78.2</x:v>
      </x:c>
      <x:c r="G87" s="45" t="n">
        <x:f>1+COUNTIF($F$5:$F$104,"&gt;"&amp;F87)</x:f>
        <x:v>44</x:v>
      </x:c>
      <x:c r="H87" s="45" t="n">
        <x:f>G87-A87</x:f>
        <x:v>-39</x:v>
      </x:c>
      <x:c r="I87" s="46" t="n">
        <x:f>F87/C87</x:f>
        <x:v>0.26517463546965075</x:v>
      </x:c>
      <x:c r="J87" s="47" t="str">
        <x:v>https://www.cnur.com/detail/4350.html</x:v>
      </x:c>
    </x:row>
    <x:row r="88">
      <x:c r="A88" s="42" t="n">
        <x:v>84</x:v>
      </x:c>
      <x:c r="B88" s="42" t="str">
        <x:v>华北电力大学</x:v>
      </x:c>
      <x:c r="C88" s="43" t="n">
        <x:v>293.5</x:v>
      </x:c>
      <x:c r="D88" s="42" t="str">
        <x:v>北京</x:v>
      </x:c>
      <x:c r="E88" s="42" t="str">
        <x:v>是</x:v>
      </x:c>
      <x:c r="F88" s="44" t="n">
        <x:v>62.24</x:v>
      </x:c>
      <x:c r="G88" s="45" t="n">
        <x:f>1+COUNTIF($F$5:$F$104,"&gt;"&amp;F88)</x:f>
        <x:v>58</x:v>
      </x:c>
      <x:c r="H88" s="45" t="n">
        <x:f>G88-A88</x:f>
        <x:v>-26</x:v>
      </x:c>
      <x:c r="I88" s="46" t="n">
        <x:f>F88/C88</x:f>
        <x:v>0.21206132879045997</x:v>
      </x:c>
      <x:c r="J88" s="47" t="str">
        <x:v>https://www.cnur.com/detail/4350.html</x:v>
      </x:c>
    </x:row>
    <x:row r="89">
      <x:c r="A89" s="42" t="n">
        <x:v>85</x:v>
      </x:c>
      <x:c r="B89" s="42" t="str">
        <x:v>贵州大学</x:v>
      </x:c>
      <x:c r="C89" s="43" t="n">
        <x:v>291.1</x:v>
      </x:c>
      <x:c r="D89" s="42" t="str">
        <x:v>贵州</x:v>
      </x:c>
      <x:c r="E89" s="42" t="str">
        <x:v>是</x:v>
      </x:c>
      <x:c r="F89" s="44" t="n">
        <x:v>45.87</x:v>
      </x:c>
      <x:c r="G89" s="45" t="n">
        <x:f>1+COUNTIF($F$5:$F$104,"&gt;"&amp;F89)</x:f>
        <x:v>73</x:v>
      </x:c>
      <x:c r="H89" s="45" t="n">
        <x:f>G89-A89</x:f>
        <x:v>-12</x:v>
      </x:c>
      <x:c r="I89" s="46" t="n">
        <x:f>F89/C89</x:f>
        <x:v>0.15757471659223632</x:v>
      </x:c>
      <x:c r="J89" s="47" t="str">
        <x:v>https://www.cnur.com/detail/4350.html</x:v>
      </x:c>
    </x:row>
    <x:row r="90">
      <x:c r="A90" s="42" t="n">
        <x:v>86</x:v>
      </x:c>
      <x:c r="B90" s="42" t="str">
        <x:v>广西大学</x:v>
      </x:c>
      <x:c r="C90" s="43" t="n">
        <x:v>288.9</x:v>
      </x:c>
      <x:c r="D90" s="42" t="str">
        <x:v>广西</x:v>
      </x:c>
      <x:c r="E90" s="42" t="str">
        <x:v>是</x:v>
      </x:c>
      <x:c r="F90" s="44" t="n">
        <x:v>32.28</x:v>
      </x:c>
      <x:c r="G90" s="45" t="n">
        <x:f>1+COUNTIF($F$5:$F$104,"&gt;"&amp;F90)</x:f>
        <x:v>86</x:v>
      </x:c>
      <x:c r="H90" s="45" t="n">
        <x:f>G90-A90</x:f>
        <x:v>0</x:v>
      </x:c>
      <x:c r="I90" s="46" t="n">
        <x:f>F90/C90</x:f>
        <x:v>0.11173416407061268</x:v>
      </x:c>
      <x:c r="J90" s="47" t="str">
        <x:v>https://www.cnur.com/detail/4350.html</x:v>
      </x:c>
    </x:row>
    <x:row r="91">
      <x:c r="A91" s="42" t="n">
        <x:v>87</x:v>
      </x:c>
      <x:c r="B91" s="42" t="str">
        <x:v>海南大学</x:v>
      </x:c>
      <x:c r="C91" s="43" t="n">
        <x:v>286.9</x:v>
      </x:c>
      <x:c r="D91" s="42" t="str">
        <x:v>海南</x:v>
      </x:c>
      <x:c r="E91" s="42" t="str">
        <x:v>是</x:v>
      </x:c>
      <x:c r="F91" s="44" t="n">
        <x:v>55.54</x:v>
      </x:c>
      <x:c r="G91" s="45" t="n">
        <x:f>1+COUNTIF($F$5:$F$104,"&gt;"&amp;F91)</x:f>
        <x:v>65</x:v>
      </x:c>
      <x:c r="H91" s="45" t="n">
        <x:f>G91-A91</x:f>
        <x:v>-22</x:v>
      </x:c>
      <x:c r="I91" s="46" t="n">
        <x:f>F91/C91</x:f>
        <x:v>0.19358661554548626</x:v>
      </x:c>
      <x:c r="J91" s="47" t="str">
        <x:v>https://www.cnur.com/detail/4350.html</x:v>
      </x:c>
    </x:row>
    <x:row r="92">
      <x:c r="A92" s="42" t="n">
        <x:v>88</x:v>
      </x:c>
      <x:c r="B92" s="42" t="str">
        <x:v>南京工业大学</x:v>
      </x:c>
      <x:c r="C92" s="43" t="n">
        <x:v>285.2</x:v>
      </x:c>
      <x:c r="D92" s="42" t="str">
        <x:v>江苏</x:v>
      </x:c>
      <x:c r="E92" s="42" t="str">
        <x:v>否</x:v>
      </x:c>
      <x:c r="F92" s="44" t="n">
        <x:v>27.27</x:v>
      </x:c>
      <x:c r="G92" s="45" t="n">
        <x:f>1+COUNTIF($F$5:$F$104,"&gt;"&amp;F92)</x:f>
        <x:v>91</x:v>
      </x:c>
      <x:c r="H92" s="45" t="n">
        <x:f>G92-A92</x:f>
        <x:v>3</x:v>
      </x:c>
      <x:c r="I92" s="46" t="n">
        <x:f>F92/C92</x:f>
        <x:v>0.09561711079943899</x:v>
      </x:c>
      <x:c r="J92" s="47" t="str">
        <x:v>https://www.cnur.com/detail/4350.html</x:v>
      </x:c>
    </x:row>
    <x:row r="93">
      <x:c r="A93" s="42" t="n">
        <x:v>89</x:v>
      </x:c>
      <x:c r="B93" s="42" t="str">
        <x:v>长安大学</x:v>
      </x:c>
      <x:c r="C93" s="43" t="n">
        <x:v>282.7</x:v>
      </x:c>
      <x:c r="D93" s="42" t="str">
        <x:v>陕西</x:v>
      </x:c>
      <x:c r="E93" s="42" t="str">
        <x:v>是</x:v>
      </x:c>
      <x:c r="F93" s="44" t="n">
        <x:v>54.46</x:v>
      </x:c>
      <x:c r="G93" s="45" t="n">
        <x:f>1+COUNTIF($F$5:$F$104,"&gt;"&amp;F93)</x:f>
        <x:v>67</x:v>
      </x:c>
      <x:c r="H93" s="45" t="n">
        <x:f>G93-A93</x:f>
        <x:v>-22</x:v>
      </x:c>
      <x:c r="I93" s="46" t="n">
        <x:f>F93/C93</x:f>
        <x:v>0.19264237707817475</x:v>
      </x:c>
      <x:c r="J93" s="47" t="str">
        <x:v>https://www.cnur.com/detail/4350.html</x:v>
      </x:c>
    </x:row>
    <x:row r="94">
      <x:c r="A94" s="42" t="n">
        <x:v>90</x:v>
      </x:c>
      <x:c r="B94" s="42" t="str">
        <x:v>福建师范大学</x:v>
      </x:c>
      <x:c r="C94" s="43" t="n">
        <x:v>282.5</x:v>
      </x:c>
      <x:c r="D94" s="42" t="str">
        <x:v>福建</x:v>
      </x:c>
      <x:c r="E94" s="42" t="str">
        <x:v>否</x:v>
      </x:c>
      <x:c r="F94" s="44" t="n">
        <x:v>24.54</x:v>
      </x:c>
      <x:c r="G94" s="45" t="n">
        <x:f>1+COUNTIF($F$5:$F$104,"&gt;"&amp;F94)</x:f>
        <x:v>96</x:v>
      </x:c>
      <x:c r="H94" s="45" t="n">
        <x:f>G94-A94</x:f>
        <x:v>6</x:v>
      </x:c>
      <x:c r="I94" s="46" t="n">
        <x:f>F94/C94</x:f>
        <x:v>0.08686725663716814</x:v>
      </x:c>
      <x:c r="J94" s="47" t="str">
        <x:v>https://www.cnur.com/detail/4350.html</x:v>
      </x:c>
    </x:row>
    <x:row r="95">
      <x:c r="A95" s="42" t="n">
        <x:v>91</x:v>
      </x:c>
      <x:c r="B95" s="42" t="str">
        <x:v>浙江师范大学</x:v>
      </x:c>
      <x:c r="C95" s="43" t="n">
        <x:v>282.2</x:v>
      </x:c>
      <x:c r="D95" s="42" t="str">
        <x:v>浙江</x:v>
      </x:c>
      <x:c r="E95" s="42" t="str">
        <x:v>否</x:v>
      </x:c>
      <x:c r="F95" s="44" t="n">
        <x:v>31.86</x:v>
      </x:c>
      <x:c r="G95" s="45" t="n">
        <x:f>1+COUNTIF($F$5:$F$104,"&gt;"&amp;F95)</x:f>
        <x:v>87</x:v>
      </x:c>
      <x:c r="H95" s="45" t="n">
        <x:f>G95-A95</x:f>
        <x:v>-4</x:v>
      </x:c>
      <x:c r="I95" s="46" t="n">
        <x:f>F95/C95</x:f>
        <x:v>0.11289865343727853</x:v>
      </x:c>
      <x:c r="J95" s="47" t="str">
        <x:v>https://www.cnur.com/detail/4350.html</x:v>
      </x:c>
    </x:row>
    <x:row r="96">
      <x:c r="A96" s="42" t="n">
        <x:v>92</x:v>
      </x:c>
      <x:c r="B96" s="42" t="str">
        <x:v>湖南师范大学</x:v>
      </x:c>
      <x:c r="C96" s="43" t="n">
        <x:v>280.5</x:v>
      </x:c>
      <x:c r="D96" s="42" t="str">
        <x:v>湖南</x:v>
      </x:c>
      <x:c r="E96" s="42" t="str">
        <x:v>是</x:v>
      </x:c>
      <x:c r="F96" s="44" t="n">
        <x:v>27.07</x:v>
      </x:c>
      <x:c r="G96" s="45" t="n">
        <x:f>1+COUNTIF($F$5:$F$104,"&gt;"&amp;F96)</x:f>
        <x:v>93</x:v>
      </x:c>
      <x:c r="H96" s="45" t="n">
        <x:f>G96-A96</x:f>
        <x:v>1</x:v>
      </x:c>
      <x:c r="I96" s="46" t="n">
        <x:f>F96/C96</x:f>
        <x:v>0.09650623885918004</x:v>
      </x:c>
      <x:c r="J96" s="47" t="str">
        <x:v>https://www.cnur.com/detail/4350.html</x:v>
      </x:c>
    </x:row>
    <x:row r="97">
      <x:c r="A97" s="42" t="n">
        <x:v>93</x:v>
      </x:c>
      <x:c r="B97" s="42" t="str">
        <x:v>南京林业大学</x:v>
      </x:c>
      <x:c r="C97" s="43" t="n">
        <x:v>280.3</x:v>
      </x:c>
      <x:c r="D97" s="42" t="str">
        <x:v>江苏</x:v>
      </x:c>
      <x:c r="E97" s="42" t="str">
        <x:v>是</x:v>
      </x:c>
      <x:c r="F97" s="44" t="n">
        <x:v>19.17</x:v>
      </x:c>
      <x:c r="G97" s="45" t="n">
        <x:f>1+COUNTIF($F$5:$F$104,"&gt;"&amp;F97)</x:f>
        <x:v>100</x:v>
      </x:c>
      <x:c r="H97" s="45" t="n">
        <x:f>G97-A97</x:f>
        <x:v>7</x:v>
      </x:c>
      <x:c r="I97" s="46" t="n">
        <x:f>F97/C97</x:f>
        <x:v>0.06839100963253657</x:v>
      </x:c>
      <x:c r="J97" s="47" t="str">
        <x:v>https://www.cnur.com/detail/4350.html</x:v>
      </x:c>
    </x:row>
    <x:row r="98">
      <x:c r="A98" s="42" t="n">
        <x:v>93</x:v>
      </x:c>
      <x:c r="B98" s="42" t="str">
        <x:v>扬州大学</x:v>
      </x:c>
      <x:c r="C98" s="43" t="n">
        <x:v>280.3</x:v>
      </x:c>
      <x:c r="D98" s="42" t="str">
        <x:v>江苏</x:v>
      </x:c>
      <x:c r="E98" s="42" t="str">
        <x:v>否</x:v>
      </x:c>
      <x:c r="F98" s="44" t="n">
        <x:v>32.33</x:v>
      </x:c>
      <x:c r="G98" s="45" t="n">
        <x:f>1+COUNTIF($F$5:$F$104,"&gt;"&amp;F98)</x:f>
        <x:v>85</x:v>
      </x:c>
      <x:c r="H98" s="45" t="n">
        <x:f>G98-A98</x:f>
        <x:v>-8</x:v>
      </x:c>
      <x:c r="I98" s="46" t="n">
        <x:f>F98/C98</x:f>
        <x:v>0.11534070638601497</x:v>
      </x:c>
      <x:c r="J98" s="47" t="str">
        <x:v>https://www.cnur.com/detail/4350.html</x:v>
      </x:c>
    </x:row>
    <x:row r="99">
      <x:c r="A99" s="42" t="n">
        <x:v>95</x:v>
      </x:c>
      <x:c r="B99" s="42" t="str">
        <x:v>河南大学</x:v>
      </x:c>
      <x:c r="C99" s="43" t="n">
        <x:v>279.1</x:v>
      </x:c>
      <x:c r="D99" s="42" t="str">
        <x:v>河南</x:v>
      </x:c>
      <x:c r="E99" s="42" t="str">
        <x:v>是</x:v>
      </x:c>
      <x:c r="F99" s="44" t="n">
        <x:v>41.47</x:v>
      </x:c>
      <x:c r="G99" s="45" t="n">
        <x:f>1+COUNTIF($F$5:$F$104,"&gt;"&amp;F99)</x:f>
        <x:v>77</x:v>
      </x:c>
      <x:c r="H99" s="45" t="n">
        <x:f>G99-A99</x:f>
        <x:v>-18</x:v>
      </x:c>
      <x:c r="I99" s="46" t="n">
        <x:f>F99/C99</x:f>
        <x:v>0.1485847366535292</x:v>
      </x:c>
      <x:c r="J99" s="47" t="str">
        <x:v>https://www.cnur.com/detail/4350.html</x:v>
      </x:c>
    </x:row>
    <x:row r="100">
      <x:c r="A100" s="42" t="n">
        <x:v>96</x:v>
      </x:c>
      <x:c r="B100" s="42" t="str">
        <x:v>广东工业大学</x:v>
      </x:c>
      <x:c r="C100" s="43" t="n">
        <x:v>276.1</x:v>
      </x:c>
      <x:c r="D100" s="42" t="str">
        <x:v>广东</x:v>
      </x:c>
      <x:c r="E100" s="42" t="str">
        <x:v>否</x:v>
      </x:c>
      <x:c r="F100" s="44" t="n">
        <x:v>37.12</x:v>
      </x:c>
      <x:c r="G100" s="45" t="n">
        <x:f>1+COUNTIF($F$5:$F$104,"&gt;"&amp;F100)</x:f>
        <x:v>80</x:v>
      </x:c>
      <x:c r="H100" s="45" t="n">
        <x:f>G100-A100</x:f>
        <x:v>-16</x:v>
      </x:c>
      <x:c r="I100" s="46" t="n">
        <x:f>F100/C100</x:f>
        <x:v>0.13444404201376312</x:v>
      </x:c>
      <x:c r="J100" s="47" t="str">
        <x:v>https://www.cnur.com/detail/4350.html</x:v>
      </x:c>
    </x:row>
    <x:row r="101">
      <x:c r="A101" s="42" t="n">
        <x:v>97</x:v>
      </x:c>
      <x:c r="B101" s="42" t="str">
        <x:v>太原理工大学</x:v>
      </x:c>
      <x:c r="C101" s="43" t="n">
        <x:v>275.7</x:v>
      </x:c>
      <x:c r="D101" s="42" t="str">
        <x:v>山西</x:v>
      </x:c>
      <x:c r="E101" s="42" t="str">
        <x:v>是</x:v>
      </x:c>
      <x:c r="F101" s="44" t="n">
        <x:v>31.02</x:v>
      </x:c>
      <x:c r="G101" s="45" t="n">
        <x:f>1+COUNTIF($F$5:$F$104,"&gt;"&amp;F101)</x:f>
        <x:v>88</x:v>
      </x:c>
      <x:c r="H101" s="45" t="n">
        <x:f>G101-A101</x:f>
        <x:v>-9</x:v>
      </x:c>
      <x:c r="I101" s="46" t="n">
        <x:f>F101/C101</x:f>
        <x:v>0.11251360174102286</x:v>
      </x:c>
      <x:c r="J101" s="47" t="str">
        <x:v>https://www.cnur.com/detail/4350.html</x:v>
      </x:c>
    </x:row>
    <x:row r="102">
      <x:c r="A102" s="42" t="n">
        <x:v>98</x:v>
      </x:c>
      <x:c r="B102" s="42" t="str">
        <x:v>南京信息工程大学</x:v>
      </x:c>
      <x:c r="C102" s="43" t="n">
        <x:v>275.1</x:v>
      </x:c>
      <x:c r="D102" s="42" t="str">
        <x:v>江苏</x:v>
      </x:c>
      <x:c r="E102" s="42" t="str">
        <x:v>是</x:v>
      </x:c>
      <x:c r="F102" s="44" t="n">
        <x:v>20.9</x:v>
      </x:c>
      <x:c r="G102" s="45" t="n">
        <x:f>1+COUNTIF($F$5:$F$104,"&gt;"&amp;F102)</x:f>
        <x:v>98</x:v>
      </x:c>
      <x:c r="H102" s="45" t="n">
        <x:f>G102-A102</x:f>
        <x:v>0</x:v>
      </x:c>
      <x:c r="I102" s="46" t="n">
        <x:f>F102/C102</x:f>
        <x:v>0.07597237368229734</x:v>
      </x:c>
      <x:c r="J102" s="47" t="str">
        <x:v>https://www.cnur.com/detail/4350.html</x:v>
      </x:c>
    </x:row>
    <x:row r="103">
      <x:c r="A103" s="42" t="n">
        <x:v>99</x:v>
      </x:c>
      <x:c r="B103" s="42" t="str">
        <x:v>杭州电子科技大学</x:v>
      </x:c>
      <x:c r="C103" s="43" t="n">
        <x:v>274.6</x:v>
      </x:c>
      <x:c r="D103" s="42" t="str">
        <x:v>浙江</x:v>
      </x:c>
      <x:c r="E103" s="42" t="str">
        <x:v>否</x:v>
      </x:c>
      <x:c r="F103" s="44" t="n">
        <x:v>25.05</x:v>
      </x:c>
      <x:c r="G103" s="45" t="n">
        <x:f>1+COUNTIF($F$5:$F$104,"&gt;"&amp;F103)</x:f>
        <x:v>95</x:v>
      </x:c>
      <x:c r="H103" s="45" t="n">
        <x:f>G103-A103</x:f>
        <x:v>-4</x:v>
      </x:c>
      <x:c r="I103" s="46" t="n">
        <x:f>F103/C103</x:f>
        <x:v>0.09122359796067006</x:v>
      </x:c>
      <x:c r="J103" s="47" t="str">
        <x:v>https://www.cnur.com/detail/4350.html</x:v>
      </x:c>
    </x:row>
    <x:row r="104">
      <x:c r="A104" s="42" t="n">
        <x:v>100</x:v>
      </x:c>
      <x:c r="B104" s="42" t="str">
        <x:v>首都师范大学</x:v>
      </x:c>
      <x:c r="C104" s="43" t="n">
        <x:v>273.4</x:v>
      </x:c>
      <x:c r="D104" s="42" t="str">
        <x:v>北京</x:v>
      </x:c>
      <x:c r="E104" s="42" t="str">
        <x:v>是</x:v>
      </x:c>
      <x:c r="F104" s="44" t="n">
        <x:v>42.16</x:v>
      </x:c>
      <x:c r="G104" s="45" t="n">
        <x:f>1+COUNTIF($F$5:$F$104,"&gt;"&amp;F104)</x:f>
        <x:v>76</x:v>
      </x:c>
      <x:c r="H104" s="45" t="n">
        <x:f>G104-A104</x:f>
        <x:v>-24</x:v>
      </x:c>
      <x:c r="I104" s="46" t="n">
        <x:f>F104/C104</x:f>
        <x:v>0.15420629114850037</x:v>
      </x:c>
      <x:c r="J104" s="47" t="str">
        <x:v>https://www.cnur.com/detail/4350.html</x:v>
      </x:c>
    </x:row>
  </x:sheetData>
  <x:mergeCells>
    <x:mergeCell ref="A1:J1"/>
    <x:mergeCell ref="A2:J2"/>
  </x:mergeCells>
  <x:conditionalFormatting sqref="F5:F104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{B4AE32B5-0FD7-CEC3-0EB7-98CFCCF1B613}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4AE32B5-0FD7-CEC3-0EB7-98CFCCF1B613}">
            <x14:dataBar gradient="1">
              <x14:cfvo type="min"/>
              <x14:cfvo type="max"/>
              <x14:fillColor rgb="FF5B9BD5"/>
            </x14:dataBar>
          </x14:cfRule>
          <xm:sqref>F5:F104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12" hidden="0" customWidth="1"/>
    <x:col min="4" max="4" width="12" hidden="0" customWidth="1"/>
    <x:col min="5" max="5" width="13" hidden="0" customWidth="1"/>
    <x:col min="6" max="6" width="12" hidden="0" customWidth="1"/>
    <x:col min="7" max="7" width="12" hidden="0" customWidth="1"/>
    <x:col min="8" max="8" width="13" hidden="0" customWidth="1"/>
    <x:col min="9" max="9" width="12" hidden="0" customWidth="1"/>
    <x:col min="10" max="10" width="12" hidden="0" customWidth="1"/>
    <x:col min="11" max="11" width="14" hidden="0" customWidth="1"/>
    <x:col min="12" max="12" width="15" hidden="0" customWidth="1"/>
    <x:col min="13" max="13" width="38" hidden="0" customWidth="1"/>
    <x:col min="14" max="14" width="38" hidden="0" customWidth="1"/>
  </x:cols>
  <x:sheetData>
    <x:row r="1" ht="24" customHeight="1">
      <x:c r="A1" s="5" t="str">
        <x:v>2023-2026预算/决算历史与执行差异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1" t="str">
        <x:v>“决算-预算差异”是预算执行偏差，不等于商业利润/亏损；中国高校部门预算还包含结转、结余等会计项目。历史汇总主要覆盖双一流高校，缺失项保留为空。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4">
      <x:c r="A4" s="19" t="str">
        <x:v>软科名次</x:v>
      </x:c>
      <x:c r="B4" s="19" t="str">
        <x:v>学校</x:v>
      </x:c>
      <x:c r="C4" s="19" t="str">
        <x:v>2023预算</x:v>
      </x:c>
      <x:c r="D4" s="19" t="str">
        <x:v>2023决算</x:v>
      </x:c>
      <x:c r="E4" s="19" t="str">
        <x:v>2023执行偏差</x:v>
      </x:c>
      <x:c r="F4" s="19" t="str">
        <x:v>2024预算</x:v>
      </x:c>
      <x:c r="G4" s="19" t="str">
        <x:v>2024决算</x:v>
      </x:c>
      <x:c r="H4" s="19" t="str">
        <x:v>2024执行偏差</x:v>
      </x:c>
      <x:c r="I4" s="19" t="str">
        <x:v>2025预算</x:v>
      </x:c>
      <x:c r="J4" s="19" t="str">
        <x:v>2026预算</x:v>
      </x:c>
      <x:c r="K4" s="19" t="str">
        <x:v>2023-26预算CAGR</x:v>
      </x:c>
      <x:c r="L4" s="19" t="str">
        <x:v>历史覆盖</x:v>
      </x:c>
      <x:c r="M4" s="19" t="str">
        <x:v>2023-24来源</x:v>
      </x:c>
      <x:c r="N4" s="19" t="str">
        <x:v>2024-25来源</x:v>
      </x:c>
    </x:row>
    <x:row r="5">
      <x:c r="A5" s="26" t="n">
        <x:v>1</x:v>
      </x:c>
      <x:c r="B5" s="26" t="str">
        <x:v>清华大学</x:v>
      </x:c>
      <x:c r="C5" s="34" t="n">
        <x:v>410.93</x:v>
      </x:c>
      <x:c r="D5" s="34" t="n">
        <x:v>413.59</x:v>
      </x:c>
      <x:c r="E5" s="56" t="n">
        <x:f>IFERROR(D5/C5-1,"")</x:f>
        <x:v>0.006473121942909943</x:v>
      </x:c>
      <x:c r="F5" s="34" t="n">
        <x:v>385.69</x:v>
      </x:c>
      <x:c r="G5" s="34" t="n">
        <x:v>387.93</x:v>
      </x:c>
      <x:c r="H5" s="56" t="n">
        <x:f>IFERROR(G5/F5-1,"")</x:f>
        <x:v>0.005807773082008971</x:v>
      </x:c>
      <x:c r="I5" s="34" t="n">
        <x:v>395.18</x:v>
      </x:c>
      <x:c r="J5" s="34" t="n">
        <x:v>403.93</x:v>
      </x:c>
      <x:c r="K5" s="56" t="n">
        <x:f>IFERROR((J5/C5)^(1/3)-1,"")</x:f>
        <x:v>-0.005710727470959132</x:v>
      </x:c>
      <x:c r="L5" t="str">
        <x:v>2023/2024/2025</x:v>
      </x:c>
      <x:c r="M5" s="30" t="str">
        <x:v>https://www.cnur.com/xueshu/2201.html</x:v>
      </x:c>
      <x:c r="N5" s="30" t="str">
        <x:v>https://www.cnur.com/xueshu/3514.html</x:v>
      </x:c>
    </x:row>
    <x:row r="6">
      <x:c r="A6" s="26" t="n">
        <x:v>2</x:v>
      </x:c>
      <x:c r="B6" s="26" t="str">
        <x:v>北京大学</x:v>
      </x:c>
      <x:c r="C6" s="34" t="n">
        <x:v>222.47</x:v>
      </x:c>
      <x:c r="D6" s="34" t="n">
        <x:v>260.21</x:v>
      </x:c>
      <x:c r="E6" s="56" t="n">
        <x:f>IFERROR(D6/C6-1,"")</x:f>
        <x:v>0.16964085045174615</x:v>
      </x:c>
      <x:c r="F6" s="34" t="n">
        <x:v>243.3</x:v>
      </x:c>
      <x:c r="G6" s="34" t="n">
        <x:v>267.21</x:v>
      </x:c>
      <x:c r="H6" s="56" t="n">
        <x:f>IFERROR(G6/F6-1,"")</x:f>
        <x:v>0.09827373612823664</x:v>
      </x:c>
      <x:c r="I6" s="34" t="n">
        <x:v>259.14</x:v>
      </x:c>
      <x:c r="J6" s="34" t="n">
        <x:v>280.49</x:v>
      </x:c>
      <x:c r="K6" s="56" t="n">
        <x:f>IFERROR((J6/C6)^(1/3)-1,"")</x:f>
        <x:v>0.08031061278462226</x:v>
      </x:c>
      <x:c r="L6" t="str">
        <x:v>2023/2024/2025</x:v>
      </x:c>
      <x:c r="M6" s="30" t="str">
        <x:v>https://www.cnur.com/xueshu/2201.html</x:v>
      </x:c>
      <x:c r="N6" s="30" t="str">
        <x:v>https://www.cnur.com/xueshu/3514.html</x:v>
      </x:c>
    </x:row>
    <x:row r="7">
      <x:c r="A7" s="26" t="n">
        <x:v>3</x:v>
      </x:c>
      <x:c r="B7" s="26" t="str">
        <x:v>浙江大学</x:v>
      </x:c>
      <x:c r="C7" s="34" t="n">
        <x:v>309.01</x:v>
      </x:c>
      <x:c r="D7" s="34" t="n">
        <x:v>313.63</x:v>
      </x:c>
      <x:c r="E7" s="56" t="n">
        <x:f>IFERROR(D7/C7-1,"")</x:f>
        <x:v>0.014950972460438194</x:v>
      </x:c>
      <x:c r="F7" s="34" t="n">
        <x:v>328.81</x:v>
      </x:c>
      <x:c r="G7" s="34" t="n">
        <x:v>331.21</x:v>
      </x:c>
      <x:c r="H7" s="56" t="n">
        <x:f>IFERROR(G7/F7-1,"")</x:f>
        <x:v>0.007299048082479276</x:v>
      </x:c>
      <x:c r="I7" s="34" t="n">
        <x:v>352.31</x:v>
      </x:c>
      <x:c r="J7" s="34" t="n">
        <x:v>363.13</x:v>
      </x:c>
      <x:c r="K7" s="56" t="n">
        <x:f>IFERROR((J7/C7)^(1/3)-1,"")</x:f>
        <x:v>0.05526904426841717</x:v>
      </x:c>
      <x:c r="L7" t="str">
        <x:v>2023/2024/2025</x:v>
      </x:c>
      <x:c r="M7" s="30" t="str">
        <x:v>https://www.cnur.com/xueshu/2201.html</x:v>
      </x:c>
      <x:c r="N7" s="30" t="str">
        <x:v>https://www.cnur.com/xueshu/3514.html</x:v>
      </x:c>
    </x:row>
    <x:row r="8">
      <x:c r="A8" s="26" t="n">
        <x:v>4</x:v>
      </x:c>
      <x:c r="B8" s="26" t="str">
        <x:v>上海交通大学</x:v>
      </x:c>
      <x:c r="C8" s="34" t="n">
        <x:v>265.16</x:v>
      </x:c>
      <x:c r="D8" s="34" t="n">
        <x:v>291.46</x:v>
      </x:c>
      <x:c r="E8" s="56" t="n">
        <x:f>IFERROR(D8/C8-1,"")</x:f>
        <x:v>0.09918539749585142</x:v>
      </x:c>
      <x:c r="F8" s="34" t="n">
        <x:v>281.58</x:v>
      </x:c>
      <x:c r="G8" s="34" t="n">
        <x:v>302.95</x:v>
      </x:c>
      <x:c r="H8" s="56" t="n">
        <x:f>IFERROR(G8/F8-1,"")</x:f>
        <x:v>0.0758931742311244</x:v>
      </x:c>
      <x:c r="I8" s="34" t="n">
        <x:v>294.48</x:v>
      </x:c>
      <x:c r="J8" s="34" t="n">
        <x:v>304.11</x:v>
      </x:c>
      <x:c r="K8" s="56" t="n">
        <x:f>IFERROR((J8/C8)^(1/3)-1,"")</x:f>
        <x:v>0.04674500455032882</x:v>
      </x:c>
      <x:c r="L8" t="str">
        <x:v>2023/2024/2025</x:v>
      </x:c>
      <x:c r="M8" s="30" t="str">
        <x:v>https://www.cnur.com/xueshu/2201.html</x:v>
      </x:c>
      <x:c r="N8" s="30" t="str">
        <x:v>https://www.cnur.com/xueshu/3514.html</x:v>
      </x:c>
    </x:row>
    <x:row r="9">
      <x:c r="A9" s="26" t="n">
        <x:v>5</x:v>
      </x:c>
      <x:c r="B9" s="26" t="str">
        <x:v>复旦大学</x:v>
      </x:c>
      <x:c r="C9" s="34" t="n">
        <x:v>178.69</x:v>
      </x:c>
      <x:c r="D9" s="34" t="n">
        <x:v>183.06</x:v>
      </x:c>
      <x:c r="E9" s="56" t="n">
        <x:f>IFERROR(D9/C9-1,"")</x:f>
        <x:v>0.024455761374447382</x:v>
      </x:c>
      <x:c r="F9" s="34" t="n">
        <x:v>182.26</x:v>
      </x:c>
      <x:c r="G9" s="34" t="n">
        <x:v>189.5</x:v>
      </x:c>
      <x:c r="H9" s="56" t="n">
        <x:f>IFERROR(G9/F9-1,"")</x:f>
        <x:v>0.03972347196312964</x:v>
      </x:c>
      <x:c r="I9" s="34" t="n">
        <x:v>182.95</x:v>
      </x:c>
      <x:c r="J9" s="34" t="n">
        <x:v>199.39</x:v>
      </x:c>
      <x:c r="K9" s="56" t="n">
        <x:f>IFERROR((J9/C9)^(1/3)-1,"")</x:f>
        <x:v>0.03721241912031714</x:v>
      </x:c>
      <x:c r="L9" t="str">
        <x:v>2023/2024/2025</x:v>
      </x:c>
      <x:c r="M9" s="30" t="str">
        <x:v>https://www.cnur.com/xueshu/2201.html</x:v>
      </x:c>
      <x:c r="N9" s="30" t="str">
        <x:v>https://www.cnur.com/xueshu/3514.html</x:v>
      </x:c>
    </x:row>
    <x:row r="10">
      <x:c r="A10" s="26" t="n">
        <x:v>6</x:v>
      </x:c>
      <x:c r="B10" s="26" t="str">
        <x:v>南京大学</x:v>
      </x:c>
      <x:c r="C10" s="34" t="n">
        <x:v>97.49</x:v>
      </x:c>
      <x:c r="D10" s="34" t="n">
        <x:v>101.61</x:v>
      </x:c>
      <x:c r="E10" s="56" t="n">
        <x:f>IFERROR(D10/C10-1,"")</x:f>
        <x:v>0.04226074469176333</x:v>
      </x:c>
      <x:c r="F10" s="34" t="n">
        <x:v>121.41</x:v>
      </x:c>
      <x:c r="G10" s="34" t="n">
        <x:v>111.4</x:v>
      </x:c>
      <x:c r="H10" s="56" t="n">
        <x:f>IFERROR(G10/F10-1,"")</x:f>
        <x:v>-0.08244790379705125</x:v>
      </x:c>
      <x:c r="I10" s="34" t="n">
        <x:v>127.18</x:v>
      </x:c>
      <x:c r="J10" s="34" t="n">
        <x:v>146.67</x:v>
      </x:c>
      <x:c r="K10" s="56" t="n">
        <x:f>IFERROR((J10/C10)^(1/3)-1,"")</x:f>
        <x:v>0.14584816572381798</x:v>
      </x:c>
      <x:c r="L10" t="str">
        <x:v>2023/2024/2025</x:v>
      </x:c>
      <x:c r="M10" s="30" t="str">
        <x:v>https://www.cnur.com/xueshu/2201.html</x:v>
      </x:c>
      <x:c r="N10" s="30" t="str">
        <x:v>https://www.cnur.com/xueshu/3514.html</x:v>
      </x:c>
    </x:row>
    <x:row r="11">
      <x:c r="A11" s="26" t="n">
        <x:v>7</x:v>
      </x:c>
      <x:c r="B11" s="26" t="str">
        <x:v>中国科学技术大学</x:v>
      </x:c>
      <x:c r="C11" s="34" t="n">
        <x:v>138.97</x:v>
      </x:c>
      <x:c r="D11" s="34" t="n">
        <x:v>138.55</x:v>
      </x:c>
      <x:c r="E11" s="56" t="n">
        <x:f>IFERROR(D11/C11-1,"")</x:f>
        <x:v>-0.0030222350147512955</x:v>
      </x:c>
      <x:c r="F11" s="34" t="n">
        <x:v>139.5</x:v>
      </x:c>
      <x:c r="G11" s="34" t="n">
        <x:v>144.94</x:v>
      </x:c>
      <x:c r="H11" s="56" t="n">
        <x:f>IFERROR(G11/F11-1,"")</x:f>
        <x:v>0.038996415770609305</x:v>
      </x:c>
      <x:c r="I11" s="34" t="n">
        <x:v>136.11</x:v>
      </x:c>
      <x:c r="J11" s="34" t="n">
        <x:v>137.29</x:v>
      </x:c>
      <x:c r="K11" s="56" t="n">
        <x:f>IFERROR((J11/C11)^(1/3)-1,"")</x:f>
        <x:v>-0.0040459946815556425</x:v>
      </x:c>
      <x:c r="L11" t="str">
        <x:v>2023/2024/2025</x:v>
      </x:c>
      <x:c r="M11" s="30" t="str">
        <x:v>https://www.cnur.com/xueshu/2201.html</x:v>
      </x:c>
      <x:c r="N11" s="30" t="str">
        <x:v>https://www.cnur.com/xueshu/3514.html</x:v>
      </x:c>
    </x:row>
    <x:row r="12">
      <x:c r="A12" s="26" t="n">
        <x:v>8</x:v>
      </x:c>
      <x:c r="B12" s="26" t="str">
        <x:v>武汉大学</x:v>
      </x:c>
      <x:c r="C12" s="34" t="n">
        <x:v>151.36</x:v>
      </x:c>
      <x:c r="D12" s="34" t="n">
        <x:v>142.75</x:v>
      </x:c>
      <x:c r="E12" s="56" t="n">
        <x:f>IFERROR(D12/C12-1,"")</x:f>
        <x:v>-0.05688424947145887</x:v>
      </x:c>
      <x:c r="F12" s="34" t="n">
        <x:v>141.2</x:v>
      </x:c>
      <x:c r="G12" s="34" t="n">
        <x:v>140.94</x:v>
      </x:c>
      <x:c r="H12" s="56" t="n">
        <x:f>IFERROR(G12/F12-1,"")</x:f>
        <x:v>-0.0018413597733710763</x:v>
      </x:c>
      <x:c r="I12" s="34" t="n">
        <x:v>145.51</x:v>
      </x:c>
      <x:c r="J12" s="34" t="n">
        <x:v>144.17</x:v>
      </x:c>
      <x:c r="K12" s="56" t="n">
        <x:f>IFERROR((J12/C12)^(1/3)-1,"")</x:f>
        <x:v>-0.016091770346720158</x:v>
      </x:c>
      <x:c r="L12" t="str">
        <x:v>2023/2024/2025</x:v>
      </x:c>
      <x:c r="M12" s="30" t="str">
        <x:v>https://www.cnur.com/xueshu/2201.html</x:v>
      </x:c>
      <x:c r="N12" s="30" t="str">
        <x:v>https://www.cnur.com/xueshu/3514.html</x:v>
      </x:c>
    </x:row>
    <x:row r="13">
      <x:c r="A13" s="26" t="n">
        <x:v>9</x:v>
      </x:c>
      <x:c r="B13" s="26" t="str">
        <x:v>华中科技大学</x:v>
      </x:c>
      <x:c r="C13" s="34" t="n">
        <x:v>137.37</x:v>
      </x:c>
      <x:c r="D13" s="34" t="n">
        <x:v>143.19</x:v>
      </x:c>
      <x:c r="E13" s="56" t="n">
        <x:f>IFERROR(D13/C13-1,"")</x:f>
        <x:v>0.0423673291111597</x:v>
      </x:c>
      <x:c r="F13" s="34" t="n">
        <x:v>137.7</x:v>
      </x:c>
      <x:c r="G13" s="34" t="n">
        <x:v>145.68</x:v>
      </x:c>
      <x:c r="H13" s="56" t="n">
        <x:f>IFERROR(G13/F13-1,"")</x:f>
        <x:v>0.05795206971677569</x:v>
      </x:c>
      <x:c r="I13" s="34" t="n">
        <x:v>145.36</x:v>
      </x:c>
      <x:c r="J13" s="34" t="n">
        <x:v>157.82</x:v>
      </x:c>
      <x:c r="K13" s="56" t="n">
        <x:f>IFERROR((J13/C13)^(1/3)-1,"")</x:f>
        <x:v>0.04734568295329211</x:v>
      </x:c>
      <x:c r="L13" t="str">
        <x:v>2023/2024/2025</x:v>
      </x:c>
      <x:c r="M13" s="30" t="str">
        <x:v>https://www.cnur.com/xueshu/2201.html</x:v>
      </x:c>
      <x:c r="N13" s="30" t="str">
        <x:v>https://www.cnur.com/xueshu/3514.html</x:v>
      </x:c>
    </x:row>
    <x:row r="14">
      <x:c r="A14" s="26" t="n">
        <x:v>10</x:v>
      </x:c>
      <x:c r="B14" s="26" t="str">
        <x:v>西安交通大学</x:v>
      </x:c>
      <x:c r="C14" s="34" t="n">
        <x:v>146.29</x:v>
      </x:c>
      <x:c r="D14" s="34" t="n">
        <x:v>152.78</x:v>
      </x:c>
      <x:c r="E14" s="56" t="n">
        <x:f>IFERROR(D14/C14-1,"")</x:f>
        <x:v>0.044363934650352155</x:v>
      </x:c>
      <x:c r="F14" s="34" t="n">
        <x:v>160.98</x:v>
      </x:c>
      <x:c r="G14" s="34" t="n">
        <x:v>173.55</x:v>
      </x:c>
      <x:c r="H14" s="56" t="n">
        <x:f>IFERROR(G14/F14-1,"")</x:f>
        <x:v>0.07808423406634368</x:v>
      </x:c>
      <x:c r="I14" s="34" t="n">
        <x:v>172.99</x:v>
      </x:c>
      <x:c r="J14" s="34" t="n">
        <x:v>185.56</x:v>
      </x:c>
      <x:c r="K14" s="56" t="n">
        <x:f>IFERROR((J14/C14)^(1/3)-1,"")</x:f>
        <x:v>0.08248837553153265</x:v>
      </x:c>
      <x:c r="L14" t="str">
        <x:v>2023/2024/2025</x:v>
      </x:c>
      <x:c r="M14" s="30" t="str">
        <x:v>https://www.cnur.com/xueshu/2201.html</x:v>
      </x:c>
      <x:c r="N14" s="30" t="str">
        <x:v>https://www.cnur.com/xueshu/3514.html</x:v>
      </x:c>
    </x:row>
    <x:row r="15">
      <x:c r="A15" s="26" t="n">
        <x:v>11</x:v>
      </x:c>
      <x:c r="B15" s="26" t="str">
        <x:v>北京航空航天大学</x:v>
      </x:c>
      <x:c r="C15" s="34" t="n">
        <x:v>141.26</x:v>
      </x:c>
      <x:c r="D15" s="34" t="n">
        <x:v>157.37</x:v>
      </x:c>
      <x:c r="E15" s="56" t="n">
        <x:f>IFERROR(D15/C15-1,"")</x:f>
        <x:v>0.11404502336117806</x:v>
      </x:c>
      <x:c r="F15" s="34" t="n">
        <x:v>148.84</x:v>
      </x:c>
      <x:c r="G15" s="34" t="n">
        <x:v>165.17</x:v>
      </x:c>
      <x:c r="H15" s="56" t="n">
        <x:f>IFERROR(G15/F15-1,"")</x:f>
        <x:v>0.10971513034130598</x:v>
      </x:c>
      <x:c r="I15" s="34" t="n">
        <x:v>155.1</x:v>
      </x:c>
      <x:c r="J15" s="34" t="n">
        <x:v>170.19</x:v>
      </x:c>
      <x:c r="K15" s="56" t="n">
        <x:f>IFERROR((J15/C15)^(1/3)-1,"")</x:f>
        <x:v>0.06407346225478405</x:v>
      </x:c>
      <x:c r="L15" t="str">
        <x:v>2023/2024/2025</x:v>
      </x:c>
      <x:c r="M15" s="30" t="str">
        <x:v>https://www.cnur.com/xueshu/2201.html</x:v>
      </x:c>
      <x:c r="N15" s="30" t="str">
        <x:v>https://www.cnur.com/xueshu/3514.html</x:v>
      </x:c>
    </x:row>
    <x:row r="16">
      <x:c r="A16" s="26" t="n">
        <x:v>12</x:v>
      </x:c>
      <x:c r="B16" s="26" t="str">
        <x:v>哈尔滨工业大学</x:v>
      </x:c>
      <x:c r="C16" s="34" t="n">
        <x:v>167.5</x:v>
      </x:c>
      <x:c r="D16" s="34" t="n">
        <x:v>180.89</x:v>
      </x:c>
      <x:c r="E16" s="56" t="n">
        <x:f>IFERROR(D16/C16-1,"")</x:f>
        <x:v>0.07994029850746265</x:v>
      </x:c>
      <x:c r="F16" s="34" t="n">
        <x:v>194.63</x:v>
      </x:c>
      <x:c r="G16" s="34" t="n">
        <x:v>200.3</x:v>
      </x:c>
      <x:c r="H16" s="56" t="n">
        <x:f>IFERROR(G16/F16-1,"")</x:f>
        <x:v>0.02913219955813595</x:v>
      </x:c>
      <x:c r="I16" s="34" t="n">
        <x:v>226.09</x:v>
      </x:c>
      <x:c r="J16" s="34" t="n">
        <x:v>258.84</x:v>
      </x:c>
      <x:c r="K16" s="56" t="n">
        <x:f>IFERROR((J16/C16)^(1/3)-1,"")</x:f>
        <x:v>0.15612695433349644</x:v>
      </x:c>
      <x:c r="L16" t="str">
        <x:v>2023/2024/2025</x:v>
      </x:c>
      <x:c r="M16" s="30" t="str">
        <x:v>https://www.cnur.com/xueshu/2201.html</x:v>
      </x:c>
      <x:c r="N16" s="30" t="str">
        <x:v>https://www.cnur.com/xueshu/3514.html</x:v>
      </x:c>
    </x:row>
    <x:row r="17">
      <x:c r="A17" s="26" t="n">
        <x:v>13</x:v>
      </x:c>
      <x:c r="B17" s="26" t="str">
        <x:v>中山大学</x:v>
      </x:c>
      <x:c r="C17" s="34" t="n">
        <x:v>197.14</x:v>
      </x:c>
      <x:c r="D17" s="34" t="n">
        <x:v>161.15</x:v>
      </x:c>
      <x:c r="E17" s="56" t="n">
        <x:f>IFERROR(D17/C17-1,"")</x:f>
        <x:v>-0.1825606168205336</x:v>
      </x:c>
      <x:c r="F17" s="34" t="n">
        <x:v>178.39</x:v>
      </x:c>
      <x:c r="G17" s="34" t="n">
        <x:v>161.56</x:v>
      </x:c>
      <x:c r="H17" s="56" t="n">
        <x:f>IFERROR(G17/F17-1,"")</x:f>
        <x:v>-0.09434385335500861</x:v>
      </x:c>
      <x:c r="I17" s="34" t="n">
        <x:v>216.22</x:v>
      </x:c>
      <x:c r="J17" s="34" t="n">
        <x:v>213.85</x:v>
      </x:c>
      <x:c r="K17" s="56" t="n">
        <x:f>IFERROR((J17/C17)^(1/3)-1,"")</x:f>
        <x:v>0.02749133350932098</x:v>
      </x:c>
      <x:c r="L17" t="str">
        <x:v>2023/2024/2025</x:v>
      </x:c>
      <x:c r="M17" s="30" t="str">
        <x:v>https://www.cnur.com/xueshu/2201.html</x:v>
      </x:c>
      <x:c r="N17" s="30" t="str">
        <x:v>https://www.cnur.com/xueshu/3514.html</x:v>
      </x:c>
    </x:row>
    <x:row r="18">
      <x:c r="A18" s="26" t="n">
        <x:v>14</x:v>
      </x:c>
      <x:c r="B18" s="26" t="str">
        <x:v>北京理工大学</x:v>
      </x:c>
      <x:c r="C18" s="34" t="n">
        <x:v>132.14</x:v>
      </x:c>
      <x:c r="D18" s="34" t="n">
        <x:v>151.43</x:v>
      </x:c>
      <x:c r="E18" s="56" t="n">
        <x:f>IFERROR(D18/C18-1,"")</x:f>
        <x:v>0.14598153473588638</x:v>
      </x:c>
      <x:c r="F18" s="34" t="n">
        <x:v>135.69</x:v>
      </x:c>
      <x:c r="G18" s="34" t="n">
        <x:v>168.69</x:v>
      </x:c>
      <x:c r="H18" s="56" t="n">
        <x:f>IFERROR(G18/F18-1,"")</x:f>
        <x:v>0.24320141499005077</x:v>
      </x:c>
      <x:c r="I18" s="34" t="n">
        <x:v>170.9</x:v>
      </x:c>
      <x:c r="J18" s="34" t="n">
        <x:v>179.11</x:v>
      </x:c>
      <x:c r="K18" s="56" t="n">
        <x:f>IFERROR((J18/C18)^(1/3)-1,"")</x:f>
        <x:v>0.1066964337644587</x:v>
      </x:c>
      <x:c r="L18" t="str">
        <x:v>2023/2024/2025</x:v>
      </x:c>
      <x:c r="M18" s="30" t="str">
        <x:v>https://www.cnur.com/xueshu/2201.html</x:v>
      </x:c>
      <x:c r="N18" s="30" t="str">
        <x:v>https://www.cnur.com/xueshu/3514.html</x:v>
      </x:c>
    </x:row>
    <x:row r="19">
      <x:c r="A19" s="26" t="n">
        <x:v>15</x:v>
      </x:c>
      <x:c r="B19" s="26" t="str">
        <x:v>东南大学</x:v>
      </x:c>
      <x:c r="C19" s="34" t="n">
        <x:v>145.49</x:v>
      </x:c>
      <x:c r="D19" s="34" t="n">
        <x:v>138.67</x:v>
      </x:c>
      <x:c r="E19" s="56" t="n">
        <x:f>IFERROR(D19/C19-1,"")</x:f>
        <x:v>-0.04687607395697313</x:v>
      </x:c>
      <x:c r="F19" s="34" t="n">
        <x:v>160.7</x:v>
      </x:c>
      <x:c r="G19" s="34" t="n">
        <x:v>149.62</x:v>
      </x:c>
      <x:c r="H19" s="56" t="n">
        <x:f>IFERROR(G19/F19-1,"")</x:f>
        <x:v>-0.06894835096453011</x:v>
      </x:c>
      <x:c r="I19" s="34" t="n">
        <x:v>162.85</x:v>
      </x:c>
      <x:c r="J19" s="34" t="n">
        <x:v>167.91</x:v>
      </x:c>
      <x:c r="K19" s="56" t="n">
        <x:f>IFERROR((J19/C19)^(1/3)-1,"")</x:f>
        <x:v>0.048933138032299706</x:v>
      </x:c>
      <x:c r="L19" t="str">
        <x:v>2023/2024/2025</x:v>
      </x:c>
      <x:c r="M19" s="30" t="str">
        <x:v>https://www.cnur.com/xueshu/2201.html</x:v>
      </x:c>
      <x:c r="N19" s="30" t="str">
        <x:v>https://www.cnur.com/xueshu/3514.html</x:v>
      </x:c>
    </x:row>
    <x:row r="20">
      <x:c r="A20" s="26" t="n">
        <x:v>16</x:v>
      </x:c>
      <x:c r="B20" s="26" t="str">
        <x:v>四川大学</x:v>
      </x:c>
      <x:c r="C20" s="34" t="n">
        <x:v>124.01</x:v>
      </x:c>
      <x:c r="D20" s="34" t="n">
        <x:v>127.89</x:v>
      </x:c>
      <x:c r="E20" s="56" t="n">
        <x:f>IFERROR(D20/C20-1,"")</x:f>
        <x:v>0.03128779937101833</x:v>
      </x:c>
      <x:c r="F20" s="34" t="n">
        <x:v>120.29</x:v>
      </x:c>
      <x:c r="G20" s="34" t="n">
        <x:v>140.36</x:v>
      </x:c>
      <x:c r="H20" s="56" t="n">
        <x:f>IFERROR(G20/F20-1,"")</x:f>
        <x:v>0.16684678693158217</x:v>
      </x:c>
      <x:c r="I20" s="34" t="n">
        <x:v>124.98</x:v>
      </x:c>
      <x:c r="J20" s="34" t="n">
        <x:v>129.25</x:v>
      </x:c>
      <x:c r="K20" s="56" t="n">
        <x:f>IFERROR((J20/C20)^(1/3)-1,"")</x:f>
        <x:v>0.013891031399532627</x:v>
      </x:c>
      <x:c r="L20" t="str">
        <x:v>2023/2024/2025</x:v>
      </x:c>
      <x:c r="M20" s="30" t="str">
        <x:v>https://www.cnur.com/xueshu/2201.html</x:v>
      </x:c>
      <x:c r="N20" s="30" t="str">
        <x:v>https://www.cnur.com/xueshu/3514.html</x:v>
      </x:c>
    </x:row>
    <x:row r="21">
      <x:c r="A21" s="26" t="n">
        <x:v>17</x:v>
      </x:c>
      <x:c r="B21" s="26" t="str">
        <x:v>中国人民大学</x:v>
      </x:c>
      <x:c r="C21" s="34" t="n">
        <x:v>104.48</x:v>
      </x:c>
      <x:c r="D21" s="34" t="n">
        <x:v>75.19</x:v>
      </x:c>
      <x:c r="E21" s="56" t="n">
        <x:f>IFERROR(D21/C21-1,"")</x:f>
        <x:v>-0.28034073506891277</x:v>
      </x:c>
      <x:c r="F21" s="34" t="n">
        <x:v>99.89</x:v>
      </x:c>
      <x:c r="G21" s="34" t="n">
        <x:v>79.94</x:v>
      </x:c>
      <x:c r="H21" s="56" t="n">
        <x:f>IFERROR(G21/F21-1,"")</x:f>
        <x:v>-0.19971969166082693</x:v>
      </x:c>
      <x:c r="I21" s="34" t="n">
        <x:v>91.73</x:v>
      </x:c>
      <x:c r="J21" s="34" t="n">
        <x:v>93.79</x:v>
      </x:c>
      <x:c r="K21" s="56" t="n">
        <x:f>IFERROR((J21/C21)^(1/3)-1,"")</x:f>
        <x:v>-0.03533958552058314</x:v>
      </x:c>
      <x:c r="L21" t="str">
        <x:v>2023/2024/2025</x:v>
      </x:c>
      <x:c r="M21" s="30" t="str">
        <x:v>https://www.cnur.com/xueshu/2201.html</x:v>
      </x:c>
      <x:c r="N21" s="30" t="str">
        <x:v>https://www.cnur.com/xueshu/3514.html</x:v>
      </x:c>
    </x:row>
    <x:row r="22">
      <x:c r="A22" s="26" t="n">
        <x:v>18</x:v>
      </x:c>
      <x:c r="B22" s="26" t="str">
        <x:v>同济大学</x:v>
      </x:c>
      <x:c r="C22" s="34" t="n">
        <x:v>152.04</x:v>
      </x:c>
      <x:c r="D22" s="34" t="n">
        <x:v>145.9</x:v>
      </x:c>
      <x:c r="E22" s="56" t="n">
        <x:f>IFERROR(D22/C22-1,"")</x:f>
        <x:v>-0.0403841094448828</x:v>
      </x:c>
      <x:c r="F22" s="34" t="n">
        <x:v>161.31</x:v>
      </x:c>
      <x:c r="G22" s="34" t="n">
        <x:v>152.84</x:v>
      </x:c>
      <x:c r="H22" s="56" t="n">
        <x:f>IFERROR(G22/F22-1,"")</x:f>
        <x:v>-0.05250759407352301</x:v>
      </x:c>
      <x:c r="I22" s="34" t="n">
        <x:v>174.98</x:v>
      </x:c>
      <x:c r="J22" s="34" t="n">
        <x:v>171.63</x:v>
      </x:c>
      <x:c r="K22" s="56" t="n">
        <x:f>IFERROR((J22/C22)^(1/3)-1,"")</x:f>
        <x:v>0.041226263009114694</x:v>
      </x:c>
      <x:c r="L22" t="str">
        <x:v>2023/2024/2025</x:v>
      </x:c>
      <x:c r="M22" s="30" t="str">
        <x:v>https://www.cnur.com/xueshu/2201.html</x:v>
      </x:c>
      <x:c r="N22" s="30" t="str">
        <x:v>https://www.cnur.com/xueshu/3514.html</x:v>
      </x:c>
    </x:row>
    <x:row r="23">
      <x:c r="A23" s="26" t="n">
        <x:v>19</x:v>
      </x:c>
      <x:c r="B23" s="26" t="str">
        <x:v>北京师范大学</x:v>
      </x:c>
      <x:c r="C23" s="34" t="n">
        <x:v>115.69</x:v>
      </x:c>
      <x:c r="D23" s="34" t="n">
        <x:v>108.4</x:v>
      </x:c>
      <x:c r="E23" s="56" t="n">
        <x:f>IFERROR(D23/C23-1,"")</x:f>
        <x:v>-0.06301322499783901</x:v>
      </x:c>
      <x:c r="F23" s="34" t="n">
        <x:v>116.06</x:v>
      </x:c>
      <x:c r="G23" s="34" t="n">
        <x:v>118.56</x:v>
      </x:c>
      <x:c r="H23" s="56" t="n">
        <x:f>IFERROR(G23/F23-1,"")</x:f>
        <x:v>0.021540582457349577</x:v>
      </x:c>
      <x:c r="I23" s="34" t="n">
        <x:v>121.97</x:v>
      </x:c>
      <x:c r="J23" s="34" t="n">
        <x:v>130.39</x:v>
      </x:c>
      <x:c r="K23" s="56" t="n">
        <x:f>IFERROR((J23/C23)^(1/3)-1,"")</x:f>
        <x:v>0.040677475475033864</x:v>
      </x:c>
      <x:c r="L23" t="str">
        <x:v>2023/2024/2025</x:v>
      </x:c>
      <x:c r="M23" s="30" t="str">
        <x:v>https://www.cnur.com/xueshu/2201.html</x:v>
      </x:c>
      <x:c r="N23" s="30" t="str">
        <x:v>https://www.cnur.com/xueshu/3514.html</x:v>
      </x:c>
    </x:row>
    <x:row r="24">
      <x:c r="A24" s="26" t="n">
        <x:v>20</x:v>
      </x:c>
      <x:c r="B24" s="26" t="str">
        <x:v>天津大学</x:v>
      </x:c>
      <x:c r="C24" s="34" t="n">
        <x:v>91.95</x:v>
      </x:c>
      <x:c r="D24" s="34" t="n">
        <x:v>92.01</x:v>
      </x:c>
      <x:c r="E24" s="56" t="n">
        <x:f>IFERROR(D24/C24-1,"")</x:f>
        <x:v>0.0006525285481240317</x:v>
      </x:c>
      <x:c r="F24" s="34" t="n">
        <x:v>92.25</x:v>
      </x:c>
      <x:c r="G24" s="34" t="n">
        <x:v>96.05</x:v>
      </x:c>
      <x:c r="H24" s="56" t="n">
        <x:f>IFERROR(G24/F24-1,"")</x:f>
        <x:v>0.041192411924119154</x:v>
      </x:c>
      <x:c r="I24" s="34" t="n">
        <x:v>106.23</x:v>
      </x:c>
      <x:c r="J24" s="34" t="n">
        <x:v>114.59</x:v>
      </x:c>
      <x:c r="K24" s="56" t="n">
        <x:f>IFERROR((J24/C24)^(1/3)-1,"")</x:f>
        <x:v>0.07613063582489543</x:v>
      </x:c>
      <x:c r="L24" t="str">
        <x:v>2023/2024/2025</x:v>
      </x:c>
      <x:c r="M24" s="30" t="str">
        <x:v>https://www.cnur.com/xueshu/2201.html</x:v>
      </x:c>
      <x:c r="N24" s="30" t="str">
        <x:v>https://www.cnur.com/xueshu/3514.html</x:v>
      </x:c>
    </x:row>
    <x:row r="25">
      <x:c r="A25" s="26" t="n">
        <x:v>21</x:v>
      </x:c>
      <x:c r="B25" s="26" t="str">
        <x:v>南开大学</x:v>
      </x:c>
      <x:c r="C25" s="34" t="n">
        <x:v>70.72</x:v>
      </x:c>
      <x:c r="D25" s="34" t="n">
        <x:v>59.07</x:v>
      </x:c>
      <x:c r="E25" s="56" t="n">
        <x:f>IFERROR(D25/C25-1,"")</x:f>
        <x:v>-0.16473416289592757</x:v>
      </x:c>
      <x:c r="F25" s="34" t="n">
        <x:v>64.03</x:v>
      </x:c>
      <x:c r="G25" s="34" t="n">
        <x:v>57.84</x:v>
      </x:c>
      <x:c r="H25" s="56" t="n">
        <x:f>IFERROR(G25/F25-1,"")</x:f>
        <x:v>-0.09667343432765885</x:v>
      </x:c>
      <x:c r="I25" s="34" t="n">
        <x:v>66.78</x:v>
      </x:c>
      <x:c r="J25" s="34" t="n">
        <x:v>74.28</x:v>
      </x:c>
      <x:c r="K25" s="56" t="n">
        <x:f>IFERROR((J25/C25)^(1/3)-1,"")</x:f>
        <x:v>0.016505846889686815</x:v>
      </x:c>
      <x:c r="L25" t="str">
        <x:v>2023/2024/2025</x:v>
      </x:c>
      <x:c r="M25" s="30" t="str">
        <x:v>https://www.cnur.com/xueshu/2201.html</x:v>
      </x:c>
      <x:c r="N25" s="30" t="str">
        <x:v>https://www.cnur.com/xueshu/3514.html</x:v>
      </x:c>
    </x:row>
    <x:row r="26">
      <x:c r="A26" s="26" t="n">
        <x:v>22</x:v>
      </x:c>
      <x:c r="B26" s="26" t="str">
        <x:v>山东大学</x:v>
      </x:c>
      <x:c r="C26" s="34" t="n">
        <x:v>166.58</x:v>
      </x:c>
      <x:c r="D26" s="34" t="n">
        <x:v>162.51</x:v>
      </x:c>
      <x:c r="E26" s="56" t="n">
        <x:f>IFERROR(D26/C26-1,"")</x:f>
        <x:v>-0.02443270500660355</x:v>
      </x:c>
      <x:c r="F26" s="34" t="n">
        <x:v>139.71</x:v>
      </x:c>
      <x:c r="G26" s="34" t="n">
        <x:v>159.11</x:v>
      </x:c>
      <x:c r="H26" s="56" t="n">
        <x:f>IFERROR(G26/F26-1,"")</x:f>
        <x:v>0.13885906520649915</x:v>
      </x:c>
      <x:c r="I26" s="34" t="n">
        <x:v>161.96</x:v>
      </x:c>
      <x:c r="J26" s="34" t="n">
        <x:v>165.76</x:v>
      </x:c>
      <x:c r="K26" s="56" t="n">
        <x:f>IFERROR((J26/C26)^(1/3)-1,"")</x:f>
        <x:v>-0.0016435530303587909</x:v>
      </x:c>
      <x:c r="L26" t="str">
        <x:v>2023/2024/2025</x:v>
      </x:c>
      <x:c r="M26" s="30" t="str">
        <x:v>https://www.cnur.com/xueshu/2201.html</x:v>
      </x:c>
      <x:c r="N26" s="30" t="str">
        <x:v>https://www.cnur.com/xueshu/3514.html</x:v>
      </x:c>
    </x:row>
    <x:row r="27">
      <x:c r="A27" s="26" t="n">
        <x:v>23</x:v>
      </x:c>
      <x:c r="B27" s="26" t="str">
        <x:v>西北工业大学</x:v>
      </x:c>
      <x:c r="C27" s="34" t="n">
        <x:v>111.74</x:v>
      </x:c>
      <x:c r="D27" s="34" t="n">
        <x:v>118.55</x:v>
      </x:c>
      <x:c r="E27" s="56" t="n">
        <x:f>IFERROR(D27/C27-1,"")</x:f>
        <x:v>0.06094505101127612</x:v>
      </x:c>
      <x:c r="F27" s="34" t="n">
        <x:v>123.64</x:v>
      </x:c>
      <x:c r="G27" s="34" t="n">
        <x:v>125.98</x:v>
      </x:c>
      <x:c r="H27" s="56" t="n">
        <x:f>IFERROR(G27/F27-1,"")</x:f>
        <x:v>0.018925913943707462</x:v>
      </x:c>
      <x:c r="I27" s="34" t="n">
        <x:v>127.94</x:v>
      </x:c>
      <x:c r="J27" s="34" t="n">
        <x:v>158.21</x:v>
      </x:c>
      <x:c r="K27" s="56" t="n">
        <x:f>IFERROR((J27/C27)^(1/3)-1,"")</x:f>
        <x:v>0.12290173923903658</x:v>
      </x:c>
      <x:c r="L27" t="str">
        <x:v>2023/2024/2025</x:v>
      </x:c>
      <x:c r="M27" s="30" t="str">
        <x:v>https://www.cnur.com/xueshu/2201.html</x:v>
      </x:c>
      <x:c r="N27" s="30" t="str">
        <x:v>https://www.cnur.com/xueshu/3514.html</x:v>
      </x:c>
    </x:row>
    <x:row r="28">
      <x:c r="A28" s="26" t="n">
        <x:v>24</x:v>
      </x:c>
      <x:c r="B28" s="26" t="str">
        <x:v>中国农业大学</x:v>
      </x:c>
      <x:c r="C28" s="34" t="n">
        <x:v>67.07</x:v>
      </x:c>
      <x:c r="D28" s="34" t="n">
        <x:v>75.01</x:v>
      </x:c>
      <x:c r="E28" s="56" t="n">
        <x:f>IFERROR(D28/C28-1,"")</x:f>
        <x:v>0.11838377814223966</x:v>
      </x:c>
      <x:c r="F28" s="34" t="n">
        <x:v>83.4</x:v>
      </x:c>
      <x:c r="G28" s="34" t="n">
        <x:v>87.37</x:v>
      </x:c>
      <x:c r="H28" s="56" t="n">
        <x:f>IFERROR(G28/F28-1,"")</x:f>
        <x:v>0.04760191846522788</x:v>
      </x:c>
      <x:c r="I28" s="34" t="n">
        <x:v>100.47</x:v>
      </x:c>
      <x:c r="J28" s="34" t="n">
        <x:v>102.19</x:v>
      </x:c>
      <x:c r="K28" s="56" t="n">
        <x:f>IFERROR((J28/C28)^(1/3)-1,"")</x:f>
        <x:v>0.15069448316259826</x:v>
      </x:c>
      <x:c r="L28" t="str">
        <x:v>2023/2024/2025</x:v>
      </x:c>
      <x:c r="M28" s="30" t="str">
        <x:v>https://www.cnur.com/xueshu/2201.html</x:v>
      </x:c>
      <x:c r="N28" s="30" t="str">
        <x:v>https://www.cnur.com/xueshu/3514.html</x:v>
      </x:c>
    </x:row>
    <x:row r="29">
      <x:c r="A29" s="26" t="n">
        <x:v>25</x:v>
      </x:c>
      <x:c r="B29" s="26" t="str">
        <x:v>厦门大学</x:v>
      </x:c>
      <x:c r="C29" s="34" t="n">
        <x:v>113.17</x:v>
      </x:c>
      <x:c r="D29" s="34" t="n">
        <x:v>121.82</x:v>
      </x:c>
      <x:c r="E29" s="56" t="n">
        <x:f>IFERROR(D29/C29-1,"")</x:f>
        <x:v>0.07643368383847293</x:v>
      </x:c>
      <x:c r="F29" s="34" t="n">
        <x:v>117.24</x:v>
      </x:c>
      <x:c r="G29" s="34" t="n">
        <x:v>129.14</x:v>
      </x:c>
      <x:c r="H29" s="56" t="n">
        <x:f>IFERROR(G29/F29-1,"")</x:f>
        <x:v>0.10150119413169567</x:v>
      </x:c>
      <x:c r="I29" s="34" t="n">
        <x:v>128.59</x:v>
      </x:c>
      <x:c r="J29" s="34" t="n">
        <x:v>138.08</x:v>
      </x:c>
      <x:c r="K29" s="56" t="n">
        <x:f>IFERROR((J29/C29)^(1/3)-1,"")</x:f>
        <x:v>0.0685622337547549</x:v>
      </x:c>
      <x:c r="L29" t="str">
        <x:v>2023/2024/2025</x:v>
      </x:c>
      <x:c r="M29" s="30" t="str">
        <x:v>https://www.cnur.com/xueshu/2201.html</x:v>
      </x:c>
      <x:c r="N29" s="30" t="str">
        <x:v>https://www.cnur.com/xueshu/3514.html</x:v>
      </x:c>
    </x:row>
    <x:row r="30">
      <x:c r="A30" s="26" t="n">
        <x:v>26</x:v>
      </x:c>
      <x:c r="B30" s="26" t="str">
        <x:v>吉林大学</x:v>
      </x:c>
      <x:c r="C30" s="34" t="n">
        <x:v>104.72</x:v>
      </x:c>
      <x:c r="D30" s="34" t="n">
        <x:v>109.66</x:v>
      </x:c>
      <x:c r="E30" s="56" t="n">
        <x:f>IFERROR(D30/C30-1,"")</x:f>
        <x:v>0.04717341482047366</x:v>
      </x:c>
      <x:c r="F30" s="34" t="n">
        <x:v>102.12</x:v>
      </x:c>
      <x:c r="G30" s="34" t="n">
        <x:v>115.76</x:v>
      </x:c>
      <x:c r="H30" s="56" t="n">
        <x:f>IFERROR(G30/F30-1,"")</x:f>
        <x:v>0.13356835095965525</x:v>
      </x:c>
      <x:c r="I30" s="34" t="n">
        <x:v>104.32</x:v>
      </x:c>
      <x:c r="J30" s="34" t="n">
        <x:v>113.21</x:v>
      </x:c>
      <x:c r="K30" s="56" t="n">
        <x:f>IFERROR((J30/C30)^(1/3)-1,"")</x:f>
        <x:v>0.026325341192386942</x:v>
      </x:c>
      <x:c r="L30" t="str">
        <x:v>2023/2024/2025</x:v>
      </x:c>
      <x:c r="M30" s="30" t="str">
        <x:v>https://www.cnur.com/xueshu/2201.html</x:v>
      </x:c>
      <x:c r="N30" s="30" t="str">
        <x:v>https://www.cnur.com/xueshu/3514.html</x:v>
      </x:c>
    </x:row>
    <x:row r="31">
      <x:c r="A31" s="26" t="n">
        <x:v>27</x:v>
      </x:c>
      <x:c r="B31" s="26" t="str">
        <x:v>中南大学</x:v>
      </x:c>
      <x:c r="C31" s="34" t="n">
        <x:v>120</x:v>
      </x:c>
      <x:c r="D31" s="34" t="n">
        <x:v>108.24</x:v>
      </x:c>
      <x:c r="E31" s="56" t="n">
        <x:f>IFERROR(D31/C31-1,"")</x:f>
        <x:v>-0.09800000000000009</x:v>
      </x:c>
      <x:c r="F31" s="34" t="n">
        <x:v>108.39</x:v>
      </x:c>
      <x:c r="G31" s="34" t="n">
        <x:v>105.85</x:v>
      </x:c>
      <x:c r="H31" s="56" t="n">
        <x:f>IFERROR(G31/F31-1,"")</x:f>
        <x:v>-0.023433896115877872</x:v>
      </x:c>
      <x:c r="I31" s="34" t="n">
        <x:v>111.59</x:v>
      </x:c>
      <x:c r="J31" s="34" t="n">
        <x:v>121.38</x:v>
      </x:c>
      <x:c r="K31" s="56" t="n">
        <x:f>IFERROR((J31/C31)^(1/3)-1,"")</x:f>
        <x:v>0.003818732056322327</x:v>
      </x:c>
      <x:c r="L31" t="str">
        <x:v>2023/2024/2025</x:v>
      </x:c>
      <x:c r="M31" s="30" t="str">
        <x:v>https://www.cnur.com/xueshu/2201.html</x:v>
      </x:c>
      <x:c r="N31" s="30" t="str">
        <x:v>https://www.cnur.com/xueshu/3514.html</x:v>
      </x:c>
    </x:row>
    <x:row r="32">
      <x:c r="A32" s="26" t="n">
        <x:v>28</x:v>
      </x:c>
      <x:c r="B32" s="26" t="str">
        <x:v>大连理工大学</x:v>
      </x:c>
      <x:c r="C32" s="34" t="n">
        <x:v>106.13</x:v>
      </x:c>
      <x:c r="D32" s="34" t="n">
        <x:v>103.22</x:v>
      </x:c>
      <x:c r="E32" s="56" t="n">
        <x:f>IFERROR(D32/C32-1,"")</x:f>
        <x:v>-0.027419202864411574</x:v>
      </x:c>
      <x:c r="F32" s="34" t="n">
        <x:v>100.17</x:v>
      </x:c>
      <x:c r="G32" s="34" t="n">
        <x:v>93.74</x:v>
      </x:c>
      <x:c r="H32" s="56" t="n">
        <x:f>IFERROR(G32/F32-1,"")</x:f>
        <x:v>-0.06419087551163027</x:v>
      </x:c>
      <x:c r="I32" s="34" t="n">
        <x:v>106.8</x:v>
      </x:c>
      <x:c r="J32" s="34" t="n">
        <x:v>112.77</x:v>
      </x:c>
      <x:c r="K32" s="56" t="n">
        <x:f>IFERROR((J32/C32)^(1/3)-1,"")</x:f>
        <x:v>0.020434512761255963</x:v>
      </x:c>
      <x:c r="L32" t="str">
        <x:v>2023/2024/2025</x:v>
      </x:c>
      <x:c r="M32" s="30" t="str">
        <x:v>https://www.cnur.com/xueshu/2201.html</x:v>
      </x:c>
      <x:c r="N32" s="30" t="str">
        <x:v>https://www.cnur.com/xueshu/3514.html</x:v>
      </x:c>
    </x:row>
    <x:row r="33">
      <x:c r="A33" s="26" t="n">
        <x:v>29</x:v>
      </x:c>
      <x:c r="B33" s="26" t="str">
        <x:v>华东师范大学</x:v>
      </x:c>
      <x:c r="C33" s="34" t="n">
        <x:v>76.35</x:v>
      </x:c>
      <x:c r="D33" s="34" t="n">
        <x:v>80.38</x:v>
      </x:c>
      <x:c r="E33" s="56" t="n">
        <x:f>IFERROR(D33/C33-1,"")</x:f>
        <x:v>0.05278323510150629</x:v>
      </x:c>
      <x:c r="F33" s="34" t="n">
        <x:v>74.2</x:v>
      </x:c>
      <x:c r="G33" s="34" t="n">
        <x:v>79.16</x:v>
      </x:c>
      <x:c r="H33" s="56" t="n">
        <x:f>IFERROR(G33/F33-1,"")</x:f>
        <x:v>0.06684636118598375</x:v>
      </x:c>
      <x:c r="I33" s="34" t="n">
        <x:v>82.29</x:v>
      </x:c>
      <x:c r="J33" s="34" t="n">
        <x:v>87.42</x:v>
      </x:c>
      <x:c r="K33" s="56" t="n">
        <x:f>IFERROR((J33/C33)^(1/3)-1,"")</x:f>
        <x:v>0.04616596484547353</x:v>
      </x:c>
      <x:c r="L33" t="str">
        <x:v>2023/2024/2025</x:v>
      </x:c>
      <x:c r="M33" s="30" t="str">
        <x:v>https://www.cnur.com/xueshu/2201.html</x:v>
      </x:c>
      <x:c r="N33" s="30" t="str">
        <x:v>https://www.cnur.com/xueshu/3514.html</x:v>
      </x:c>
    </x:row>
    <x:row r="34">
      <x:c r="A34" s="26" t="n">
        <x:v>30</x:v>
      </x:c>
      <x:c r="B34" s="26" t="str">
        <x:v>南方科技大学</x:v>
      </x:c>
      <x:c r="C34" s="34" t="n">
        <x:v>36.34</x:v>
      </x:c>
      <x:c r="D34" s="34" t="n">
        <x:v>77.86</x:v>
      </x:c>
      <x:c r="E34" s="56" t="n">
        <x:f>IFERROR(D34/C34-1,"")</x:f>
        <x:v>1.1425426527242704</x:v>
      </x:c>
      <x:c r="F34" s="34" t="n">
        <x:v>59.48</x:v>
      </x:c>
      <x:c r="G34" s="34" t="n">
        <x:v>89.43</x:v>
      </x:c>
      <x:c r="H34" s="56" t="n">
        <x:f>IFERROR(G34/F34-1,"")</x:f>
        <x:v>0.5035305985205112</x:v>
      </x:c>
      <x:c r="I34" s="34" t="n">
        <x:v>53.63</x:v>
      </x:c>
      <x:c r="J34" s="34" t="n">
        <x:v>47.92</x:v>
      </x:c>
      <x:c r="K34" s="56" t="n">
        <x:f>IFERROR((J34/C34)^(1/3)-1,"")</x:f>
        <x:v>0.09658919447694791</x:v>
      </x:c>
      <x:c r="L34" t="str">
        <x:v>2023/2024/2025</x:v>
      </x:c>
      <x:c r="M34" s="30" t="str">
        <x:v>https://www.cnur.com/xueshu/2201.html</x:v>
      </x:c>
      <x:c r="N34" s="30" t="str">
        <x:v>https://www.cnur.com/xueshu/3514.html</x:v>
      </x:c>
    </x:row>
    <x:row r="35">
      <x:c r="A35" s="26" t="n">
        <x:v>31</x:v>
      </x:c>
      <x:c r="B35" s="26" t="str">
        <x:v>湖南大学</x:v>
      </x:c>
      <x:c r="C35" s="34" t="n">
        <x:v>79.33</x:v>
      </x:c>
      <x:c r="D35" s="34" t="n">
        <x:v>87.01</x:v>
      </x:c>
      <x:c r="E35" s="56" t="n">
        <x:f>IFERROR(D35/C35-1,"")</x:f>
        <x:v>0.09681079036934337</x:v>
      </x:c>
      <x:c r="F35" s="34" t="n">
        <x:v>97.84</x:v>
      </x:c>
      <x:c r="G35" s="34" t="n">
        <x:v>102.13</x:v>
      </x:c>
      <x:c r="H35" s="56" t="n">
        <x:f>IFERROR(G35/F35-1,"")</x:f>
        <x:v>0.0438470973017171</x:v>
      </x:c>
      <x:c r="I35" s="34" t="n">
        <x:v>103.63</x:v>
      </x:c>
      <x:c r="J35" s="34" t="n">
        <x:v>108.05</x:v>
      </x:c>
      <x:c r="K35" s="56" t="n">
        <x:f>IFERROR((J35/C35)^(1/3)-1,"")</x:f>
        <x:v>0.10848317509900762</x:v>
      </x:c>
      <x:c r="L35" t="str">
        <x:v>2023/2024/2025</x:v>
      </x:c>
      <x:c r="M35" s="30" t="str">
        <x:v>https://www.cnur.com/xueshu/2201.html</x:v>
      </x:c>
      <x:c r="N35" s="30" t="str">
        <x:v>https://www.cnur.com/xueshu/3514.html</x:v>
      </x:c>
    </x:row>
    <x:row r="36">
      <x:c r="A36" s="26" t="n">
        <x:v>32</x:v>
      </x:c>
      <x:c r="B36" s="26" t="str">
        <x:v>华南理工大学</x:v>
      </x:c>
      <x:c r="C36" s="34" t="n">
        <x:v>125.26</x:v>
      </x:c>
      <x:c r="D36" s="34" t="n">
        <x:v>124.26</x:v>
      </x:c>
      <x:c r="E36" s="56" t="n">
        <x:f>IFERROR(D36/C36-1,"")</x:f>
        <x:v>-0.007983394539358146</x:v>
      </x:c>
      <x:c r="F36" s="34" t="n">
        <x:v>120.39</x:v>
      </x:c>
      <x:c r="G36" s="34" t="n">
        <x:v>112.29</x:v>
      </x:c>
      <x:c r="H36" s="56" t="n">
        <x:f>IFERROR(G36/F36-1,"")</x:f>
        <x:v>-0.06728133565910788</x:v>
      </x:c>
      <x:c r="I36" s="34" t="n">
        <x:v>126.5</x:v>
      </x:c>
      <x:c r="J36" s="34" t="n">
        <x:v>129.52</x:v>
      </x:c>
      <x:c r="K36" s="56" t="n">
        <x:f>IFERROR((J36/C36)^(1/3)-1,"")</x:f>
        <x:v>0.011210280262256678</x:v>
      </x:c>
      <x:c r="L36" t="str">
        <x:v>2023/2024/2025</x:v>
      </x:c>
      <x:c r="M36" s="30" t="str">
        <x:v>https://www.cnur.com/xueshu/2201.html</x:v>
      </x:c>
      <x:c r="N36" s="30" t="str">
        <x:v>https://www.cnur.com/xueshu/3514.html</x:v>
      </x:c>
    </x:row>
    <x:row r="37">
      <x:c r="A37" s="26" t="n">
        <x:v>33</x:v>
      </x:c>
      <x:c r="B37" s="26" t="str">
        <x:v>电子科技大学</x:v>
      </x:c>
      <x:c r="C37" s="34" t="n">
        <x:v>87.87</x:v>
      </x:c>
      <x:c r="D37" s="34" t="n">
        <x:v>89.49</x:v>
      </x:c>
      <x:c r="E37" s="56" t="n">
        <x:f>IFERROR(D37/C37-1,"")</x:f>
        <x:v>0.018436326391259694</x:v>
      </x:c>
      <x:c r="F37" s="34" t="n">
        <x:v>80.57</x:v>
      </x:c>
      <x:c r="G37" s="34" t="n">
        <x:v>98.71</x:v>
      </x:c>
      <x:c r="H37" s="56" t="n">
        <x:f>IFERROR(G37/F37-1,"")</x:f>
        <x:v>0.22514583591907655</x:v>
      </x:c>
      <x:c r="I37" s="34" t="n">
        <x:v>95.73</x:v>
      </x:c>
      <x:c r="J37" s="34" t="n">
        <x:v>97.53</x:v>
      </x:c>
      <x:c r="K37" s="56" t="n">
        <x:f>IFERROR((J37/C37)^(1/3)-1,"")</x:f>
        <x:v>0.03537863543830877</x:v>
      </x:c>
      <x:c r="L37" t="str">
        <x:v>2023/2024/2025</x:v>
      </x:c>
      <x:c r="M37" s="30" t="str">
        <x:v>https://www.cnur.com/xueshu/2201.html</x:v>
      </x:c>
      <x:c r="N37" s="30" t="str">
        <x:v>https://www.cnur.com/xueshu/3514.html</x:v>
      </x:c>
    </x:row>
    <x:row r="38">
      <x:c r="A38" s="26" t="n">
        <x:v>34</x:v>
      </x:c>
      <x:c r="B38" s="26" t="str">
        <x:v>重庆大学</x:v>
      </x:c>
      <x:c r="C38" s="34" t="n">
        <x:v>84.54</x:v>
      </x:c>
      <x:c r="D38" s="34" t="n">
        <x:v>82.66</x:v>
      </x:c>
      <x:c r="E38" s="56" t="n">
        <x:f>IFERROR(D38/C38-1,"")</x:f>
        <x:v>-0.022237993849065663</x:v>
      </x:c>
      <x:c r="F38" s="34" t="n">
        <x:v>87.14</x:v>
      </x:c>
      <x:c r="G38" s="34" t="n">
        <x:v>91.64</x:v>
      </x:c>
      <x:c r="H38" s="56" t="n">
        <x:f>IFERROR(G38/F38-1,"")</x:f>
        <x:v>0.05164103741106274</x:v>
      </x:c>
      <x:c r="I38" s="34" t="n">
        <x:v>106.27</x:v>
      </x:c>
      <x:c r="J38" s="34" t="n">
        <x:v>117.71</x:v>
      </x:c>
      <x:c r="K38" s="56" t="n">
        <x:f>IFERROR((J38/C38)^(1/3)-1,"")</x:f>
        <x:v>0.1166499189433865</x:v>
      </x:c>
      <x:c r="L38" t="str">
        <x:v>2023/2024/2025</x:v>
      </x:c>
      <x:c r="M38" s="30" t="str">
        <x:v>https://www.cnur.com/xueshu/2201.html</x:v>
      </x:c>
      <x:c r="N38" s="30" t="str">
        <x:v>https://www.cnur.com/xueshu/3514.html</x:v>
      </x:c>
    </x:row>
    <x:row r="39">
      <x:c r="A39" s="26" t="n">
        <x:v>35</x:v>
      </x:c>
      <x:c r="B39" s="26" t="str">
        <x:v>北京科技大学</x:v>
      </x:c>
      <x:c r="C39" s="34" t="n">
        <x:v>64.6</x:v>
      </x:c>
      <x:c r="D39" s="34" t="n">
        <x:v>66.83</x:v>
      </x:c>
      <x:c r="E39" s="56" t="n">
        <x:f>IFERROR(D39/C39-1,"")</x:f>
        <x:v>0.034520123839009376</x:v>
      </x:c>
      <x:c r="F39" s="34" t="n">
        <x:v>72.83</x:v>
      </x:c>
      <x:c r="G39" s="34" t="n">
        <x:v>74.13</x:v>
      </x:c>
      <x:c r="H39" s="56" t="n">
        <x:f>IFERROR(G39/F39-1,"")</x:f>
        <x:v>0.017849787175614473</x:v>
      </x:c>
      <x:c r="I39" s="34" t="n">
        <x:v>78.31</x:v>
      </x:c>
      <x:c r="J39" s="34" t="n">
        <x:v>149.04</x:v>
      </x:c>
      <x:c r="K39" s="56" t="n">
        <x:f>IFERROR((J39/C39)^(1/3)-1,"")</x:f>
        <x:v>0.32136695381301994</x:v>
      </x:c>
      <x:c r="L39" t="str">
        <x:v>2023/2024/2025</x:v>
      </x:c>
      <x:c r="M39" s="30" t="str">
        <x:v>https://www.cnur.com/xueshu/2201.html</x:v>
      </x:c>
      <x:c r="N39" s="30" t="str">
        <x:v>https://www.cnur.com/xueshu/3514.html</x:v>
      </x:c>
    </x:row>
    <x:row r="40">
      <x:c r="A40" s="26" t="n">
        <x:v>36</x:v>
      </x:c>
      <x:c r="B40" s="26" t="str">
        <x:v>南京理工大学</x:v>
      </x:c>
      <x:c r="C40" s="34" t="n">
        <x:v>74.26</x:v>
      </x:c>
      <x:c r="D40" s="34" t="n">
        <x:v>78.75</x:v>
      </x:c>
      <x:c r="E40" s="56" t="n">
        <x:f>IFERROR(D40/C40-1,"")</x:f>
        <x:v>0.06046323727444114</x:v>
      </x:c>
      <x:c r="F40" s="34" t="n">
        <x:v>86.56</x:v>
      </x:c>
      <x:c r="G40" s="34" t="n">
        <x:v>87.6</x:v>
      </x:c>
      <x:c r="H40" s="56" t="n">
        <x:f>IFERROR(G40/F40-1,"")</x:f>
        <x:v>0.012014787430683738</x:v>
      </x:c>
      <x:c r="I40" s="34" t="n">
        <x:v>90.43</x:v>
      </x:c>
      <x:c r="J40" s="34" t="n">
        <x:v>100.34</x:v>
      </x:c>
      <x:c r="K40" s="56" t="n">
        <x:f>IFERROR((J40/C40)^(1/3)-1,"")</x:f>
        <x:v>0.10553641074365738</x:v>
      </x:c>
      <x:c r="L40" t="str">
        <x:v>2023/2024/2025</x:v>
      </x:c>
      <x:c r="M40" s="30" t="str">
        <x:v>https://www.cnur.com/xueshu/2201.html</x:v>
      </x:c>
      <x:c r="N40" s="30" t="str">
        <x:v>https://www.cnur.com/xueshu/3514.html</x:v>
      </x:c>
    </x:row>
    <x:row r="41">
      <x:c r="A41" s="26" t="n">
        <x:v>37</x:v>
      </x:c>
      <x:c r="B41" s="26" t="str">
        <x:v>南京航空航天大学</x:v>
      </x:c>
      <x:c r="C41" s="34" t="n">
        <x:v>84.28</x:v>
      </x:c>
      <x:c r="D41" s="34" t="n">
        <x:v>82</x:v>
      </x:c>
      <x:c r="E41" s="56" t="n">
        <x:f>IFERROR(D41/C41-1,"")</x:f>
        <x:v>-0.027052681537731438</x:v>
      </x:c>
      <x:c r="F41" s="34" t="n">
        <x:v>91.05</x:v>
      </x:c>
      <x:c r="G41" s="34" t="n">
        <x:v>90.77</x:v>
      </x:c>
      <x:c r="H41" s="56" t="n">
        <x:f>IFERROR(G41/F41-1,"")</x:f>
        <x:v>-0.003075233388248222</x:v>
      </x:c>
      <x:c r="I41" s="34" t="n">
        <x:v>92.43</x:v>
      </x:c>
      <x:c r="J41" s="34" t="n">
        <x:v>100.03</x:v>
      </x:c>
      <x:c r="K41" s="56" t="n">
        <x:f>IFERROR((J41/C41)^(1/3)-1,"")</x:f>
        <x:v>0.058770699156122985</x:v>
      </x:c>
      <x:c r="L41" t="str">
        <x:v>2023/2024/2025</x:v>
      </x:c>
      <x:c r="M41" s="30" t="str">
        <x:v>https://www.cnur.com/xueshu/2201.html</x:v>
      </x:c>
      <x:c r="N41" s="30" t="str">
        <x:v>https://www.cnur.com/xueshu/3514.html</x:v>
      </x:c>
    </x:row>
    <x:row r="42">
      <x:c r="A42" s="26" t="n">
        <x:v>38</x:v>
      </x:c>
      <x:c r="B42" s="26" t="str">
        <x:v>东北大学</x:v>
      </x:c>
      <x:c r="C42" s="34" t="n">
        <x:v>66.06</x:v>
      </x:c>
      <x:c r="D42" s="34" t="n">
        <x:v>65.74</x:v>
      </x:c>
      <x:c r="E42" s="56" t="n">
        <x:f>IFERROR(D42/C42-1,"")</x:f>
        <x:v>-0.004844081138359213</x:v>
      </x:c>
      <x:c r="F42" s="34" t="n">
        <x:v>74.34</x:v>
      </x:c>
      <x:c r="G42" s="34" t="n">
        <x:v>75.24</x:v>
      </x:c>
      <x:c r="H42" s="56" t="n">
        <x:f>IFERROR(G42/F42-1,"")</x:f>
        <x:v>0.012106537530266248</x:v>
      </x:c>
      <x:c r="I42" s="34" t="n">
        <x:v>80.52</x:v>
      </x:c>
      <x:c r="J42" s="34" t="n">
        <x:v>93.12</x:v>
      </x:c>
      <x:c r="K42" s="56" t="n">
        <x:f>IFERROR((J42/C42)^(1/3)-1,"")</x:f>
        <x:v>0.1212474438698079</x:v>
      </x:c>
      <x:c r="L42" t="str">
        <x:v>2023/2024/2025</x:v>
      </x:c>
      <x:c r="M42" s="30" t="str">
        <x:v>https://www.cnur.com/xueshu/2201.html</x:v>
      </x:c>
      <x:c r="N42" s="30" t="str">
        <x:v>https://www.cnur.com/xueshu/3514.html</x:v>
      </x:c>
    </x:row>
    <x:row r="43">
      <x:c r="A43" s="26" t="n">
        <x:v>39</x:v>
      </x:c>
      <x:c r="B43" s="26" t="str">
        <x:v>西安电子科技大学</x:v>
      </x:c>
      <x:c r="C43" s="34" t="n">
        <x:v>68.25</x:v>
      </x:c>
      <x:c r="D43" s="34" t="n">
        <x:v>76.36</x:v>
      </x:c>
      <x:c r="E43" s="56" t="n">
        <x:f>IFERROR(D43/C43-1,"")</x:f>
        <x:v>0.11882783882783876</x:v>
      </x:c>
      <x:c r="F43" s="34" t="n">
        <x:v>76.9</x:v>
      </x:c>
      <x:c r="G43" s="34" t="n">
        <x:v>82.98</x:v>
      </x:c>
      <x:c r="H43" s="56" t="n">
        <x:f>IFERROR(G43/F43-1,"")</x:f>
        <x:v>0.07906371911573462</x:v>
      </x:c>
      <x:c r="I43" s="34" t="n">
        <x:v>85.46</x:v>
      </x:c>
      <x:c r="J43" s="34" t="n">
        <x:v>94.91</x:v>
      </x:c>
      <x:c r="K43" s="56" t="n">
        <x:f>IFERROR((J43/C43)^(1/3)-1,"")</x:f>
        <x:v>0.11618566137229114</x:v>
      </x:c>
      <x:c r="L43" t="str">
        <x:v>2023/2024/2025</x:v>
      </x:c>
      <x:c r="M43" s="30" t="str">
        <x:v>https://www.cnur.com/xueshu/2201.html</x:v>
      </x:c>
      <x:c r="N43" s="30" t="str">
        <x:v>https://www.cnur.com/xueshu/3514.html</x:v>
      </x:c>
    </x:row>
    <x:row r="44">
      <x:c r="A44" s="26" t="n">
        <x:v>40</x:v>
      </x:c>
      <x:c r="B44" s="26" t="str">
        <x:v>兰州大学</x:v>
      </x:c>
      <x:c r="C44" s="34" t="n">
        <x:v>77.88</x:v>
      </x:c>
      <x:c r="D44" s="34" t="n">
        <x:v>80.47</x:v>
      </x:c>
      <x:c r="E44" s="56" t="n">
        <x:f>IFERROR(D44/C44-1,"")</x:f>
        <x:v>0.03325629173086808</x:v>
      </x:c>
      <x:c r="F44" s="34" t="n">
        <x:v>66.21</x:v>
      </x:c>
      <x:c r="G44" s="34" t="n">
        <x:v>76.34</x:v>
      </x:c>
      <x:c r="H44" s="56" t="n">
        <x:f>IFERROR(G44/F44-1,"")</x:f>
        <x:v>0.15299803655037025</x:v>
      </x:c>
      <x:c r="I44" s="34" t="n">
        <x:v>78.37</x:v>
      </x:c>
      <x:c r="J44" s="34" t="n">
        <x:v>81.45</x:v>
      </x:c>
      <x:c r="K44" s="56" t="n">
        <x:f>IFERROR((J44/C44)^(1/3)-1,"")</x:f>
        <x:v>0.015052211949102778</x:v>
      </x:c>
      <x:c r="L44" t="str">
        <x:v>2023/2024/2025</x:v>
      </x:c>
      <x:c r="M44" s="30" t="str">
        <x:v>https://www.cnur.com/xueshu/2201.html</x:v>
      </x:c>
      <x:c r="N44" s="30" t="str">
        <x:v>https://www.cnur.com/xueshu/3514.html</x:v>
      </x:c>
    </x:row>
    <x:row r="45">
      <x:c r="A45" s="26" t="n">
        <x:v>41</x:v>
      </x:c>
      <x:c r="B45" s="26" t="str">
        <x:v>北京交通大学</x:v>
      </x:c>
      <x:c r="C45" s="34" t="n">
        <x:v>61.4</x:v>
      </x:c>
      <x:c r="D45" s="34" t="n">
        <x:v>64.64</x:v>
      </x:c>
      <x:c r="E45" s="56" t="n">
        <x:f>IFERROR(D45/C45-1,"")</x:f>
        <x:v>0.05276872964169388</x:v>
      </x:c>
      <x:c r="F45" s="34" t="n">
        <x:v>66.35</x:v>
      </x:c>
      <x:c r="G45" s="34" t="n">
        <x:v>72.53</x:v>
      </x:c>
      <x:c r="H45" s="56" t="n">
        <x:f>IFERROR(G45/F45-1,"")</x:f>
        <x:v>0.09314242652599858</x:v>
      </x:c>
      <x:c r="I45" s="34" t="n">
        <x:v>71.83</x:v>
      </x:c>
      <x:c r="J45" s="34" t="n">
        <x:v>129.65</x:v>
      </x:c>
      <x:c r="K45" s="56" t="n">
        <x:f>IFERROR((J45/C45)^(1/3)-1,"")</x:f>
        <x:v>0.28292534009623416</x:v>
      </x:c>
      <x:c r="L45" t="str">
        <x:v>2023/2024/2025</x:v>
      </x:c>
      <x:c r="M45" s="30" t="str">
        <x:v>https://www.cnur.com/xueshu/2201.html</x:v>
      </x:c>
      <x:c r="N45" s="30" t="str">
        <x:v>https://www.cnur.com/xueshu/3514.html</x:v>
      </x:c>
    </x:row>
    <x:row r="46">
      <x:c r="A46" s="26" t="n">
        <x:v>42</x:v>
      </x:c>
      <x:c r="B46" s="26" t="str">
        <x:v>华东理工大学</x:v>
      </x:c>
      <x:c r="C46" s="34" t="n">
        <x:v>45.76</x:v>
      </x:c>
      <x:c r="D46" s="34" t="n">
        <x:v>49.09</x:v>
      </x:c>
      <x:c r="E46" s="56" t="n">
        <x:f>IFERROR(D46/C46-1,"")</x:f>
        <x:v>0.07277097902097918</x:v>
      </x:c>
      <x:c r="F46" s="34" t="n">
        <x:v>46.91</x:v>
      </x:c>
      <x:c r="G46" s="34" t="n">
        <x:v>53.92</x:v>
      </x:c>
      <x:c r="H46" s="56" t="n">
        <x:f>IFERROR(G46/F46-1,"")</x:f>
        <x:v>0.14943508846727793</x:v>
      </x:c>
      <x:c r="I46" s="34" t="n">
        <x:v>54.93</x:v>
      </x:c>
      <x:c r="J46" s="34" t="n">
        <x:v>60.71</x:v>
      </x:c>
      <x:c r="K46" s="56" t="n">
        <x:f>IFERROR((J46/C46)^(1/3)-1,"")</x:f>
        <x:v>0.09881540394851074</x:v>
      </x:c>
      <x:c r="L46" t="str">
        <x:v>2023/2024/2025</x:v>
      </x:c>
      <x:c r="M46" s="30" t="str">
        <x:v>https://www.cnur.com/xueshu/2201.html</x:v>
      </x:c>
      <x:c r="N46" s="30" t="str">
        <x:v>https://www.cnur.com/xueshu/3514.html</x:v>
      </x:c>
    </x:row>
    <x:row r="47">
      <x:c r="A47" s="26" t="n">
        <x:v>43</x:v>
      </x:c>
      <x:c r="B47" s="26" t="str">
        <x:v>哈尔滨工程大学</x:v>
      </x:c>
      <x:c r="C47" s="34" t="n">
        <x:v>55.78</x:v>
      </x:c>
      <x:c r="D47" s="34" t="n">
        <x:v>61.75</x:v>
      </x:c>
      <x:c r="E47" s="56" t="n">
        <x:f>IFERROR(D47/C47-1,"")</x:f>
        <x:v>0.10702760846181425</x:v>
      </x:c>
      <x:c r="F47" s="34" t="n">
        <x:v>72.93</x:v>
      </x:c>
      <x:c r="G47" s="34" t="n">
        <x:v>70.23</x:v>
      </x:c>
      <x:c r="H47" s="56" t="n">
        <x:f>IFERROR(G47/F47-1,"")</x:f>
        <x:v>-0.0370218017276841</x:v>
      </x:c>
      <x:c r="I47" s="34" t="n">
        <x:v>78.52</x:v>
      </x:c>
      <x:c r="J47" s="34" t="n">
        <x:v>101.54</x:v>
      </x:c>
      <x:c r="K47" s="56" t="n">
        <x:f>IFERROR((J47/C47)^(1/3)-1,"")</x:f>
        <x:v>0.22101092471609385</x:v>
      </x:c>
      <x:c r="L47" t="str">
        <x:v>2023/2024/2025</x:v>
      </x:c>
      <x:c r="M47" s="30" t="str">
        <x:v>https://www.cnur.com/xueshu/2201.html</x:v>
      </x:c>
      <x:c r="N47" s="30" t="str">
        <x:v>https://www.cnur.com/xueshu/3514.html</x:v>
      </x:c>
    </x:row>
    <x:row r="48">
      <x:c r="A48" s="26" t="n">
        <x:v>44</x:v>
      </x:c>
      <x:c r="B48" s="26" t="str">
        <x:v>郑州大学</x:v>
      </x:c>
      <x:c r="C48" s="34"/>
      <x:c r="D48" s="34"/>
      <x:c r="E48" s="56" t="str">
        <x:f>IFERROR(D48/C48-1,"")</x:f>
      </x:c>
      <x:c r="F48" s="34" t="n">
        <x:v>37.62</x:v>
      </x:c>
      <x:c r="G48" s="34" t="n">
        <x:v>60.78</x:v>
      </x:c>
      <x:c r="H48" s="56" t="n">
        <x:f>IFERROR(G48/F48-1,"")</x:f>
        <x:v>0.6156299840510369</x:v>
      </x:c>
      <x:c r="I48" s="34" t="n">
        <x:v>47.78</x:v>
      </x:c>
      <x:c r="J48" s="34" t="n">
        <x:v>57.2</x:v>
      </x:c>
      <x:c r="K48" s="56" t="str">
        <x:f>IFERROR((J48/C48)^(1/3)-1,"")</x:f>
      </x:c>
      <x:c r="L48" t="str">
        <x:v>2024/2025</x:v>
      </x:c>
      <x:c r="M48" s="30" t="str"/>
      <x:c r="N48" s="30" t="str">
        <x:v>https://www.cnur.com/xueshu/3514.html</x:v>
      </x:c>
    </x:row>
    <x:row r="49">
      <x:c r="A49" s="26" t="n">
        <x:v>45</x:v>
      </x:c>
      <x:c r="B49" s="26" t="str">
        <x:v>华中农业大学</x:v>
      </x:c>
      <x:c r="C49" s="34" t="n">
        <x:v>47.82</x:v>
      </x:c>
      <x:c r="D49" s="34" t="n">
        <x:v>49.84</x:v>
      </x:c>
      <x:c r="E49" s="56" t="n">
        <x:f>IFERROR(D49/C49-1,"")</x:f>
        <x:v>0.04224173985780011</x:v>
      </x:c>
      <x:c r="F49" s="34" t="n">
        <x:v>48.85</x:v>
      </x:c>
      <x:c r="G49" s="34" t="n">
        <x:v>59.54</x:v>
      </x:c>
      <x:c r="H49" s="56" t="n">
        <x:f>IFERROR(G49/F49-1,"")</x:f>
        <x:v>0.21883316274309106</x:v>
      </x:c>
      <x:c r="I49" s="34" t="n">
        <x:v>58.19</x:v>
      </x:c>
      <x:c r="J49" s="34" t="n">
        <x:v>60.47</x:v>
      </x:c>
      <x:c r="K49" s="56" t="n">
        <x:f>IFERROR((J49/C49)^(1/3)-1,"")</x:f>
        <x:v>0.08137618003299552</x:v>
      </x:c>
      <x:c r="L49" t="str">
        <x:v>2023/2024/2025</x:v>
      </x:c>
      <x:c r="M49" s="30" t="str">
        <x:v>https://www.cnur.com/xueshu/2201.html</x:v>
      </x:c>
      <x:c r="N49" s="30" t="str">
        <x:v>https://www.cnur.com/xueshu/3514.html</x:v>
      </x:c>
    </x:row>
    <x:row r="50">
      <x:c r="A50" s="26" t="n">
        <x:v>46</x:v>
      </x:c>
      <x:c r="B50" s="26" t="str">
        <x:v>苏州大学</x:v>
      </x:c>
      <x:c r="C50" s="34" t="n">
        <x:v>39.87</x:v>
      </x:c>
      <x:c r="D50" s="34" t="n">
        <x:v>63.33</x:v>
      </x:c>
      <x:c r="E50" s="56" t="n">
        <x:f>IFERROR(D50/C50-1,"")</x:f>
        <x:v>0.5884123401053425</x:v>
      </x:c>
      <x:c r="F50" s="34" t="n">
        <x:v>59.54</x:v>
      </x:c>
      <x:c r="G50" s="34" t="n">
        <x:v>68.63</x:v>
      </x:c>
      <x:c r="H50" s="56" t="n">
        <x:f>IFERROR(G50/F50-1,"")</x:f>
        <x:v>0.15267047363117237</x:v>
      </x:c>
      <x:c r="I50" s="34" t="n">
        <x:v>60.4</x:v>
      </x:c>
      <x:c r="J50" s="34" t="n">
        <x:v>62.37</x:v>
      </x:c>
      <x:c r="K50" s="56" t="n">
        <x:f>IFERROR((J50/C50)^(1/3)-1,"")</x:f>
        <x:v>0.16085106138012972</x:v>
      </x:c>
      <x:c r="L50" t="str">
        <x:v>2023/2024/2025</x:v>
      </x:c>
      <x:c r="M50" s="30" t="str">
        <x:v>https://www.cnur.com/xueshu/2201.html</x:v>
      </x:c>
      <x:c r="N50" s="30" t="str">
        <x:v>https://www.cnur.com/xueshu/3514.html</x:v>
      </x:c>
    </x:row>
    <x:row r="51">
      <x:c r="A51" s="26" t="n">
        <x:v>47</x:v>
      </x:c>
      <x:c r="B51" s="26" t="str">
        <x:v>上海科技大学</x:v>
      </x:c>
      <x:c r="C51" s="34"/>
      <x:c r="D51" s="34"/>
      <x:c r="E51" s="56" t="str">
        <x:f>IFERROR(D51/C51-1,"")</x:f>
      </x:c>
      <x:c r="F51" s="34" t="n">
        <x:v>18.95</x:v>
      </x:c>
      <x:c r="G51" s="34" t="n">
        <x:v>42.79</x:v>
      </x:c>
      <x:c r="H51" s="56" t="n">
        <x:f>IFERROR(G51/F51-1,"")</x:f>
        <x:v>1.2580474934036938</x:v>
      </x:c>
      <x:c r="I51" s="34" t="n">
        <x:v>19.88</x:v>
      </x:c>
      <x:c r="J51" s="34" t="n">
        <x:v>22.91</x:v>
      </x:c>
      <x:c r="K51" s="56" t="str">
        <x:f>IFERROR((J51/C51)^(1/3)-1,"")</x:f>
      </x:c>
      <x:c r="L51" t="str">
        <x:v>2024/2025</x:v>
      </x:c>
      <x:c r="M51" s="30" t="str"/>
      <x:c r="N51" s="30" t="str">
        <x:v>https://www.cnur.com/xueshu/3514.html</x:v>
      </x:c>
    </x:row>
    <x:row r="52">
      <x:c r="A52" s="26" t="n">
        <x:v>48</x:v>
      </x:c>
      <x:c r="B52" s="26" t="str">
        <x:v>东北师范大学</x:v>
      </x:c>
      <x:c r="C52" s="34" t="n">
        <x:v>30.99</x:v>
      </x:c>
      <x:c r="D52" s="34" t="n">
        <x:v>31.38</x:v>
      </x:c>
      <x:c r="E52" s="56" t="n">
        <x:f>IFERROR(D52/C52-1,"")</x:f>
        <x:v>0.012584704743465736</x:v>
      </x:c>
      <x:c r="F52" s="34" t="n">
        <x:v>30.99</x:v>
      </x:c>
      <x:c r="G52" s="34" t="n">
        <x:v>35.08</x:v>
      </x:c>
      <x:c r="H52" s="56" t="n">
        <x:f>IFERROR(G52/F52-1,"")</x:f>
        <x:v>0.13197805743788327</x:v>
      </x:c>
      <x:c r="I52" s="34" t="n">
        <x:v>33.06</x:v>
      </x:c>
      <x:c r="J52" s="34" t="n">
        <x:v>34.81</x:v>
      </x:c>
      <x:c r="K52" s="56" t="n">
        <x:f>IFERROR((J52/C52)^(1/3)-1,"")</x:f>
        <x:v>0.039507153543413276</x:v>
      </x:c>
      <x:c r="L52" t="str">
        <x:v>2023/2024/2025</x:v>
      </x:c>
      <x:c r="M52" s="30" t="str">
        <x:v>https://www.cnur.com/xueshu/2201.html</x:v>
      </x:c>
      <x:c r="N52" s="30" t="str">
        <x:v>https://www.cnur.com/xueshu/3514.html</x:v>
      </x:c>
    </x:row>
    <x:row r="53">
      <x:c r="A53" s="26" t="n">
        <x:v>49</x:v>
      </x:c>
      <x:c r="B53" s="26" t="str">
        <x:v>西南交通大学</x:v>
      </x:c>
      <x:c r="C53" s="34" t="n">
        <x:v>65.17</x:v>
      </x:c>
      <x:c r="D53" s="34" t="n">
        <x:v>69.58</x:v>
      </x:c>
      <x:c r="E53" s="56" t="n">
        <x:f>IFERROR(D53/C53-1,"")</x:f>
        <x:v>0.06766917293233088</x:v>
      </x:c>
      <x:c r="F53" s="34" t="n">
        <x:v>66.52</x:v>
      </x:c>
      <x:c r="G53" s="34" t="n">
        <x:v>75.89</x:v>
      </x:c>
      <x:c r="H53" s="56" t="n">
        <x:f>IFERROR(G53/F53-1,"")</x:f>
        <x:v>0.1408598917618762</x:v>
      </x:c>
      <x:c r="I53" s="34" t="n">
        <x:v>84.62</x:v>
      </x:c>
      <x:c r="J53" s="34" t="n">
        <x:v>94.36</x:v>
      </x:c>
      <x:c r="K53" s="56" t="n">
        <x:f>IFERROR((J53/C53)^(1/3)-1,"")</x:f>
        <x:v>0.13130594776668292</x:v>
      </x:c>
      <x:c r="L53" t="str">
        <x:v>2023/2024/2025</x:v>
      </x:c>
      <x:c r="M53" s="30" t="str">
        <x:v>https://www.cnur.com/xueshu/2201.html</x:v>
      </x:c>
      <x:c r="N53" s="30" t="str">
        <x:v>https://www.cnur.com/xueshu/3514.html</x:v>
      </x:c>
    </x:row>
    <x:row r="54">
      <x:c r="A54" s="26" t="n">
        <x:v>50</x:v>
      </x:c>
      <x:c r="B54" s="26" t="str">
        <x:v>北京邮电大学</x:v>
      </x:c>
      <x:c r="C54" s="34" t="n">
        <x:v>59.22</x:v>
      </x:c>
      <x:c r="D54" s="34" t="n">
        <x:v>48.7</x:v>
      </x:c>
      <x:c r="E54" s="56" t="n">
        <x:f>IFERROR(D54/C54-1,"")</x:f>
        <x:v>-0.17764268828098606</x:v>
      </x:c>
      <x:c r="F54" s="34" t="n">
        <x:v>60.97</x:v>
      </x:c>
      <x:c r="G54" s="34" t="n">
        <x:v>57.5</x:v>
      </x:c>
      <x:c r="H54" s="56" t="n">
        <x:f>IFERROR(G54/F54-1,"")</x:f>
        <x:v>-0.05691323601771359</x:v>
      </x:c>
      <x:c r="I54" s="34" t="n">
        <x:v>63.2</x:v>
      </x:c>
      <x:c r="J54" s="34" t="n">
        <x:v>64.91</x:v>
      </x:c>
      <x:c r="K54" s="56" t="n">
        <x:f>IFERROR((J54/C54)^(1/3)-1,"")</x:f>
        <x:v>0.031053186286067236</x:v>
      </x:c>
      <x:c r="L54" t="str">
        <x:v>2023/2024/2025</x:v>
      </x:c>
      <x:c r="M54" s="30" t="str">
        <x:v>https://www.cnur.com/xueshu/2201.html</x:v>
      </x:c>
      <x:c r="N54" s="30" t="str">
        <x:v>https://www.cnur.com/xueshu/3514.html</x:v>
      </x:c>
    </x:row>
    <x:row r="55">
      <x:c r="A55" s="26" t="n">
        <x:v>51</x:v>
      </x:c>
      <x:c r="B55" s="26" t="str">
        <x:v>中国海洋大学</x:v>
      </x:c>
      <x:c r="C55" s="34" t="n">
        <x:v>53.86</x:v>
      </x:c>
      <x:c r="D55" s="34" t="n">
        <x:v>53.85</x:v>
      </x:c>
      <x:c r="E55" s="56" t="n">
        <x:f>IFERROR(D55/C55-1,"")</x:f>
        <x:v>-0.00018566654288898476</x:v>
      </x:c>
      <x:c r="F55" s="34" t="n">
        <x:v>61.56</x:v>
      </x:c>
      <x:c r="G55" s="34" t="n">
        <x:v>61.79</x:v>
      </x:c>
      <x:c r="H55" s="56" t="n">
        <x:f>IFERROR(G55/F55-1,"")</x:f>
        <x:v>0.003736192332683519</x:v>
      </x:c>
      <x:c r="I55" s="34" t="n">
        <x:v>63.63</x:v>
      </x:c>
      <x:c r="J55" s="34" t="n">
        <x:v>62.98</x:v>
      </x:c>
      <x:c r="K55" s="56" t="n">
        <x:f>IFERROR((J55/C55)^(1/3)-1,"")</x:f>
        <x:v>0.05352643106739707</x:v>
      </x:c>
      <x:c r="L55" t="str">
        <x:v>2023/2024/2025</x:v>
      </x:c>
      <x:c r="M55" s="30" t="str">
        <x:v>https://www.cnur.com/xueshu/2201.html</x:v>
      </x:c>
      <x:c r="N55" s="30" t="str">
        <x:v>https://www.cnur.com/xueshu/3514.html</x:v>
      </x:c>
    </x:row>
    <x:row r="56">
      <x:c r="A56" s="26" t="n">
        <x:v>52</x:v>
      </x:c>
      <x:c r="B56" s="26" t="str">
        <x:v>江南大学</x:v>
      </x:c>
      <x:c r="C56" s="34" t="n">
        <x:v>45.94</x:v>
      </x:c>
      <x:c r="D56" s="34" t="n">
        <x:v>46.77</x:v>
      </x:c>
      <x:c r="E56" s="56" t="n">
        <x:f>IFERROR(D56/C56-1,"")</x:f>
        <x:v>0.018067043970396268</x:v>
      </x:c>
      <x:c r="F56" s="34" t="n">
        <x:v>49.47</x:v>
      </x:c>
      <x:c r="G56" s="34" t="n">
        <x:v>51.59</x:v>
      </x:c>
      <x:c r="H56" s="56" t="n">
        <x:f>IFERROR(G56/F56-1,"")</x:f>
        <x:v>0.04285425510410357</x:v>
      </x:c>
      <x:c r="I56" s="34" t="n">
        <x:v>52.99</x:v>
      </x:c>
      <x:c r="J56" s="34" t="n">
        <x:v>61.73</x:v>
      </x:c>
      <x:c r="K56" s="56" t="n">
        <x:f>IFERROR((J56/C56)^(1/3)-1,"")</x:f>
        <x:v>0.10349006817718909</x:v>
      </x:c>
      <x:c r="L56" t="str">
        <x:v>2023/2024/2025</x:v>
      </x:c>
      <x:c r="M56" s="30" t="str">
        <x:v>https://www.cnur.com/xueshu/2201.html</x:v>
      </x:c>
      <x:c r="N56" s="30" t="str">
        <x:v>https://www.cnur.com/xueshu/3514.html</x:v>
      </x:c>
    </x:row>
    <x:row r="57">
      <x:c r="A57" s="26" t="n">
        <x:v>53</x:v>
      </x:c>
      <x:c r="B57" s="26" t="str">
        <x:v>华中师范大学</x:v>
      </x:c>
      <x:c r="C57" s="34" t="n">
        <x:v>39.06</x:v>
      </x:c>
      <x:c r="D57" s="34" t="n">
        <x:v>40.03</x:v>
      </x:c>
      <x:c r="E57" s="56" t="n">
        <x:f>IFERROR(D57/C57-1,"")</x:f>
        <x:v>0.024833589349718244</x:v>
      </x:c>
      <x:c r="F57" s="34" t="n">
        <x:v>39.73</x:v>
      </x:c>
      <x:c r="G57" s="34" t="n">
        <x:v>41.26</x:v>
      </x:c>
      <x:c r="H57" s="56" t="n">
        <x:f>IFERROR(G57/F57-1,"")</x:f>
        <x:v>0.038509942109237416</x:v>
      </x:c>
      <x:c r="I57" s="34" t="n">
        <x:v>43.74</x:v>
      </x:c>
      <x:c r="J57" s="34" t="n">
        <x:v>52.67</x:v>
      </x:c>
      <x:c r="K57" s="56" t="n">
        <x:f>IFERROR((J57/C57)^(1/3)-1,"")</x:f>
        <x:v>0.10478311094393278</x:v>
      </x:c>
      <x:c r="L57" t="str">
        <x:v>2023/2024/2025</x:v>
      </x:c>
      <x:c r="M57" s="30" t="str">
        <x:v>https://www.cnur.com/xueshu/2201.html</x:v>
      </x:c>
      <x:c r="N57" s="30" t="str">
        <x:v>https://www.cnur.com/xueshu/3514.html</x:v>
      </x:c>
    </x:row>
    <x:row r="58">
      <x:c r="A58" s="26" t="n">
        <x:v>54</x:v>
      </x:c>
      <x:c r="B58" s="26" t="str">
        <x:v>武汉理工大学</x:v>
      </x:c>
      <x:c r="C58" s="34" t="n">
        <x:v>71.78</x:v>
      </x:c>
      <x:c r="D58" s="34" t="n">
        <x:v>68.22</x:v>
      </x:c>
      <x:c r="E58" s="56" t="n">
        <x:f>IFERROR(D58/C58-1,"")</x:f>
        <x:v>-0.049595987740317704</x:v>
      </x:c>
      <x:c r="F58" s="34" t="n">
        <x:v>77.12</x:v>
      </x:c>
      <x:c r="G58" s="34" t="n">
        <x:v>74.18</x:v>
      </x:c>
      <x:c r="H58" s="56" t="n">
        <x:f>IFERROR(G58/F58-1,"")</x:f>
        <x:v>-0.038122406639004125</x:v>
      </x:c>
      <x:c r="I58" s="34" t="n">
        <x:v>81.99</x:v>
      </x:c>
      <x:c r="J58" s="34" t="n">
        <x:v>84.29</x:v>
      </x:c>
      <x:c r="K58" s="56" t="n">
        <x:f>IFERROR((J58/C58)^(1/3)-1,"")</x:f>
        <x:v>0.055012325111547744</x:v>
      </x:c>
      <x:c r="L58" t="str">
        <x:v>2023/2024/2025</x:v>
      </x:c>
      <x:c r="M58" s="30" t="str">
        <x:v>https://www.cnur.com/xueshu/2201.html</x:v>
      </x:c>
      <x:c r="N58" s="30" t="str">
        <x:v>https://www.cnur.com/xueshu/3514.html</x:v>
      </x:c>
    </x:row>
    <x:row r="59">
      <x:c r="A59" s="26" t="n">
        <x:v>55</x:v>
      </x:c>
      <x:c r="B59" s="26" t="str">
        <x:v>南京农业大学</x:v>
      </x:c>
      <x:c r="C59" s="34" t="n">
        <x:v>33.85</x:v>
      </x:c>
      <x:c r="D59" s="34" t="n">
        <x:v>43.98</x:v>
      </x:c>
      <x:c r="E59" s="56" t="n">
        <x:f>IFERROR(D59/C59-1,"")</x:f>
        <x:v>0.29926144756277684</x:v>
      </x:c>
      <x:c r="F59" s="34" t="n">
        <x:v>35.77</x:v>
      </x:c>
      <x:c r="G59" s="34" t="n">
        <x:v>53.06</x:v>
      </x:c>
      <x:c r="H59" s="56" t="n">
        <x:f>IFERROR(G59/F59-1,"")</x:f>
        <x:v>0.4833659491193738</x:v>
      </x:c>
      <x:c r="I59" s="34" t="n">
        <x:v>52.46</x:v>
      </x:c>
      <x:c r="J59" s="34" t="n">
        <x:v>62.19</x:v>
      </x:c>
      <x:c r="K59" s="56" t="n">
        <x:f>IFERROR((J59/C59)^(1/3)-1,"")</x:f>
        <x:v>0.22476836777384968</x:v>
      </x:c>
      <x:c r="L59" t="str">
        <x:v>2023/2024/2025</x:v>
      </x:c>
      <x:c r="M59" s="30" t="str">
        <x:v>https://www.cnur.com/xueshu/2201.html</x:v>
      </x:c>
      <x:c r="N59" s="30" t="str">
        <x:v>https://www.cnur.com/xueshu/3514.html</x:v>
      </x:c>
    </x:row>
    <x:row r="60">
      <x:c r="A60" s="26" t="n">
        <x:v>56</x:v>
      </x:c>
      <x:c r="B60" s="26" t="str">
        <x:v>中国地质大学（武汉）</x:v>
      </x:c>
      <x:c r="C60" s="34" t="n">
        <x:v>52.74</x:v>
      </x:c>
      <x:c r="D60" s="34" t="n">
        <x:v>49.4</x:v>
      </x:c>
      <x:c r="E60" s="56" t="n">
        <x:f>IFERROR(D60/C60-1,"")</x:f>
        <x:v>-0.06332954114524092</x:v>
      </x:c>
      <x:c r="F60" s="34" t="n">
        <x:v>55.49</x:v>
      </x:c>
      <x:c r="G60" s="34" t="n">
        <x:v>49.53</x:v>
      </x:c>
      <x:c r="H60" s="56" t="n">
        <x:f>IFERROR(G60/F60-1,"")</x:f>
        <x:v>-0.10740673995314476</x:v>
      </x:c>
      <x:c r="I60" s="34" t="n">
        <x:v>55.06</x:v>
      </x:c>
      <x:c r="J60" s="34" t="n">
        <x:v>58.54</x:v>
      </x:c>
      <x:c r="K60" s="56" t="n">
        <x:f>IFERROR((J60/C60)^(1/3)-1,"")</x:f>
        <x:v>0.03539055163211535</x:v>
      </x:c>
      <x:c r="L60" t="str">
        <x:v>2023/2024/2025</x:v>
      </x:c>
      <x:c r="M60" s="30" t="str">
        <x:v>https://www.cnur.com/xueshu/2201.html</x:v>
      </x:c>
      <x:c r="N60" s="30" t="str">
        <x:v>https://www.cnur.com/xueshu/3514.html</x:v>
      </x:c>
    </x:row>
    <x:row r="61">
      <x:c r="A61" s="26" t="n">
        <x:v>57</x:v>
      </x:c>
      <x:c r="B61" s="26" t="str">
        <x:v>北京化工大学</x:v>
      </x:c>
      <x:c r="C61" s="34" t="n">
        <x:v>37.41</x:v>
      </x:c>
      <x:c r="D61" s="34" t="n">
        <x:v>38.02</x:v>
      </x:c>
      <x:c r="E61" s="56" t="n">
        <x:f>IFERROR(D61/C61-1,"")</x:f>
        <x:v>0.01630580058807829</x:v>
      </x:c>
      <x:c r="F61" s="34" t="n">
        <x:v>39.78</x:v>
      </x:c>
      <x:c r="G61" s="34" t="n">
        <x:v>41.52</x:v>
      </x:c>
      <x:c r="H61" s="56" t="n">
        <x:f>IFERROR(G61/F61-1,"")</x:f>
        <x:v>0.043740573152337925</x:v>
      </x:c>
      <x:c r="I61" s="34" t="n">
        <x:v>42.77</x:v>
      </x:c>
      <x:c r="J61" s="34" t="n">
        <x:v>45.66</x:v>
      </x:c>
      <x:c r="K61" s="56" t="n">
        <x:f>IFERROR((J61/C61)^(1/3)-1,"")</x:f>
        <x:v>0.06868422720709888</x:v>
      </x:c>
      <x:c r="L61" t="str">
        <x:v>2023/2024/2025</x:v>
      </x:c>
      <x:c r="M61" s="30" t="str">
        <x:v>https://www.cnur.com/xueshu/2201.html</x:v>
      </x:c>
      <x:c r="N61" s="30" t="str">
        <x:v>https://www.cnur.com/xueshu/3514.html</x:v>
      </x:c>
    </x:row>
    <x:row r="62">
      <x:c r="A62" s="26" t="n">
        <x:v>58</x:v>
      </x:c>
      <x:c r="B62" s="26" t="str">
        <x:v>南京师范大学</x:v>
      </x:c>
      <x:c r="C62" s="34" t="n">
        <x:v>22.62</x:v>
      </x:c>
      <x:c r="D62" s="34" t="n">
        <x:v>27.67</x:v>
      </x:c>
      <x:c r="E62" s="56" t="n">
        <x:f>IFERROR(D62/C62-1,"")</x:f>
        <x:v>0.22325375773651635</x:v>
      </x:c>
      <x:c r="F62" s="34" t="n">
        <x:v>25.49</x:v>
      </x:c>
      <x:c r="G62" s="34" t="n">
        <x:v>31.46</x:v>
      </x:c>
      <x:c r="H62" s="56" t="n">
        <x:f>IFERROR(G62/F62-1,"")</x:f>
        <x:v>0.2342094939191841</x:v>
      </x:c>
      <x:c r="I62" s="34" t="n">
        <x:v>26.97</x:v>
      </x:c>
      <x:c r="J62" s="34" t="n">
        <x:v>27.99</x:v>
      </x:c>
      <x:c r="K62" s="56" t="n">
        <x:f>IFERROR((J62/C62)^(1/3)-1,"")</x:f>
        <x:v>0.07358581824332666</x:v>
      </x:c>
      <x:c r="L62" t="str">
        <x:v>2023/2024/2025</x:v>
      </x:c>
      <x:c r="M62" s="30" t="str">
        <x:v>https://www.cnur.com/xueshu/2201.html</x:v>
      </x:c>
      <x:c r="N62" s="30" t="str">
        <x:v>https://www.cnur.com/xueshu/3514.html</x:v>
      </x:c>
    </x:row>
    <x:row r="63">
      <x:c r="A63" s="26" t="n">
        <x:v>59</x:v>
      </x:c>
      <x:c r="B63" s="26" t="str">
        <x:v>暨南大学</x:v>
      </x:c>
      <x:c r="C63" s="34" t="n">
        <x:v>56.3</x:v>
      </x:c>
      <x:c r="D63" s="34" t="n">
        <x:v>69.45</x:v>
      </x:c>
      <x:c r="E63" s="56" t="n">
        <x:f>IFERROR(D63/C63-1,"")</x:f>
        <x:v>0.2335701598579043</x:v>
      </x:c>
      <x:c r="F63" s="34" t="n">
        <x:v>76.24</x:v>
      </x:c>
      <x:c r="G63" s="34" t="n">
        <x:v>67.09</x:v>
      </x:c>
      <x:c r="H63" s="56" t="n">
        <x:f>IFERROR(G63/F63-1,"")</x:f>
        <x:v>-0.12001573976914992</x:v>
      </x:c>
      <x:c r="I63" s="34" t="n">
        <x:v>85.11</x:v>
      </x:c>
      <x:c r="J63" s="34" t="n">
        <x:v>77.63</x:v>
      </x:c>
      <x:c r="K63" s="56" t="n">
        <x:f>IFERROR((J63/C63)^(1/3)-1,"")</x:f>
        <x:v>0.11303049602111392</x:v>
      </x:c>
      <x:c r="L63" t="str">
        <x:v>2023/2024/2025</x:v>
      </x:c>
      <x:c r="M63" s="30" t="str">
        <x:v>https://www.cnur.com/xueshu/2201.html</x:v>
      </x:c>
      <x:c r="N63" s="30" t="str">
        <x:v>https://www.cnur.com/xueshu/3514.html</x:v>
      </x:c>
    </x:row>
    <x:row r="64">
      <x:c r="A64" s="26" t="n">
        <x:v>60</x:v>
      </x:c>
      <x:c r="B64" s="26" t="str">
        <x:v>上海大学</x:v>
      </x:c>
      <x:c r="C64" s="34"/>
      <x:c r="D64" s="34"/>
      <x:c r="E64" s="56" t="str">
        <x:f>IFERROR(D64/C64-1,"")</x:f>
      </x:c>
      <x:c r="F64" s="34" t="n">
        <x:v>49.51</x:v>
      </x:c>
      <x:c r="G64" s="34" t="n">
        <x:v>73.81</x:v>
      </x:c>
      <x:c r="H64" s="56" t="n">
        <x:f>IFERROR(G64/F64-1,"")</x:f>
        <x:v>0.4908099373863868</x:v>
      </x:c>
      <x:c r="I64" s="34" t="n">
        <x:v>50.9</x:v>
      </x:c>
      <x:c r="J64" s="34" t="n">
        <x:v>53.65</x:v>
      </x:c>
      <x:c r="K64" s="56" t="str">
        <x:f>IFERROR((J64/C64)^(1/3)-1,"")</x:f>
      </x:c>
      <x:c r="L64" t="str">
        <x:v>2024/2025</x:v>
      </x:c>
      <x:c r="M64" s="30" t="str"/>
      <x:c r="N64" s="30" t="str">
        <x:v>https://www.cnur.com/xueshu/3514.html</x:v>
      </x:c>
    </x:row>
    <x:row r="65">
      <x:c r="A65" s="26" t="n">
        <x:v>61</x:v>
      </x:c>
      <x:c r="B65" s="26" t="str">
        <x:v>西南大学</x:v>
      </x:c>
      <x:c r="C65" s="34" t="n">
        <x:v>55.73</x:v>
      </x:c>
      <x:c r="D65" s="34" t="n">
        <x:v>56.95</x:v>
      </x:c>
      <x:c r="E65" s="56" t="n">
        <x:f>IFERROR(D65/C65-1,"")</x:f>
        <x:v>0.021891261439081378</x:v>
      </x:c>
      <x:c r="F65" s="34" t="n">
        <x:v>58.23</x:v>
      </x:c>
      <x:c r="G65" s="34" t="n">
        <x:v>60.91</x:v>
      </x:c>
      <x:c r="H65" s="56" t="n">
        <x:f>IFERROR(G65/F65-1,"")</x:f>
        <x:v>0.04602438605529802</x:v>
      </x:c>
      <x:c r="I65" s="34" t="n">
        <x:v>64.2</x:v>
      </x:c>
      <x:c r="J65" s="34" t="n">
        <x:v>62.52</x:v>
      </x:c>
      <x:c r="K65" s="56" t="n">
        <x:f>IFERROR((J65/C65)^(1/3)-1,"")</x:f>
        <x:v>0.039066417642023454</x:v>
      </x:c>
      <x:c r="L65" t="str">
        <x:v>2023/2024/2025</x:v>
      </x:c>
      <x:c r="M65" s="30" t="str">
        <x:v>https://www.cnur.com/xueshu/2201.html</x:v>
      </x:c>
      <x:c r="N65" s="30" t="str">
        <x:v>https://www.cnur.com/xueshu/3514.html</x:v>
      </x:c>
    </x:row>
    <x:row r="66">
      <x:c r="A66" s="26" t="n">
        <x:v>62</x:v>
      </x:c>
      <x:c r="B66" s="26" t="str">
        <x:v>中国石油大学（北京）</x:v>
      </x:c>
      <x:c r="C66" s="34" t="n">
        <x:v>56.59</x:v>
      </x:c>
      <x:c r="D66" s="34" t="n">
        <x:v>47.79</x:v>
      </x:c>
      <x:c r="E66" s="56" t="n">
        <x:f>IFERROR(D66/C66-1,"")</x:f>
        <x:v>-0.15550450609648359</x:v>
      </x:c>
      <x:c r="F66" s="34" t="n">
        <x:v>55.85</x:v>
      </x:c>
      <x:c r="G66" s="34" t="n">
        <x:v>54.85</x:v>
      </x:c>
      <x:c r="H66" s="56" t="n">
        <x:f>IFERROR(G66/F66-1,"")</x:f>
        <x:v>-0.017905102954342</x:v>
      </x:c>
      <x:c r="I66" s="34" t="n">
        <x:v>68.22</x:v>
      </x:c>
      <x:c r="J66" s="34" t="n">
        <x:v>64.73</x:v>
      </x:c>
      <x:c r="K66" s="56" t="n">
        <x:f>IFERROR((J66/C66)^(1/3)-1,"")</x:f>
        <x:v>0.045816054229459224</x:v>
      </x:c>
      <x:c r="L66" t="str">
        <x:v>2023/2024/2025</x:v>
      </x:c>
      <x:c r="M66" s="30" t="str">
        <x:v>https://www.cnur.com/xueshu/2201.html</x:v>
      </x:c>
      <x:c r="N66" s="30" t="str">
        <x:v>https://www.cnur.com/xueshu/3514.html</x:v>
      </x:c>
    </x:row>
    <x:row r="67">
      <x:c r="A67" s="26" t="n">
        <x:v>63</x:v>
      </x:c>
      <x:c r="B67" s="26" t="str">
        <x:v>河海大学</x:v>
      </x:c>
      <x:c r="C67" s="34" t="n">
        <x:v>55.31</x:v>
      </x:c>
      <x:c r="D67" s="34" t="n">
        <x:v>46.31</x:v>
      </x:c>
      <x:c r="E67" s="56" t="n">
        <x:f>IFERROR(D67/C67-1,"")</x:f>
        <x:v>-0.162719218947749</x:v>
      </x:c>
      <x:c r="F67" s="34" t="n">
        <x:v>49.2</x:v>
      </x:c>
      <x:c r="G67" s="34" t="n">
        <x:v>48.11</x:v>
      </x:c>
      <x:c r="H67" s="56" t="n">
        <x:f>IFERROR(G67/F67-1,"")</x:f>
        <x:v>-0.022154471544715504</x:v>
      </x:c>
      <x:c r="I67" s="34" t="n">
        <x:v>60.78</x:v>
      </x:c>
      <x:c r="J67" s="34" t="n">
        <x:v>63.5</x:v>
      </x:c>
      <x:c r="K67" s="56" t="n">
        <x:f>IFERROR((J67/C67)^(1/3)-1,"")</x:f>
        <x:v>0.04710449100694869</x:v>
      </x:c>
      <x:c r="L67" t="str">
        <x:v>2023/2024/2025</x:v>
      </x:c>
      <x:c r="M67" s="30" t="str">
        <x:v>https://www.cnur.com/xueshu/2201.html</x:v>
      </x:c>
      <x:c r="N67" s="30" t="str">
        <x:v>https://www.cnur.com/xueshu/3514.html</x:v>
      </x:c>
    </x:row>
    <x:row r="68">
      <x:c r="A68" s="26" t="n">
        <x:v>63</x:v>
      </x:c>
      <x:c r="B68" s="26" t="str">
        <x:v>陕西师范大学</x:v>
      </x:c>
      <x:c r="C68" s="34" t="n">
        <x:v>46.89</x:v>
      </x:c>
      <x:c r="D68" s="34" t="n">
        <x:v>34.93</x:v>
      </x:c>
      <x:c r="E68" s="56" t="n">
        <x:f>IFERROR(D68/C68-1,"")</x:f>
        <x:v>-0.2550650458519941</x:v>
      </x:c>
      <x:c r="F68" s="34" t="n">
        <x:v>35.88</x:v>
      </x:c>
      <x:c r="G68" s="34" t="n">
        <x:v>35.95</x:v>
      </x:c>
      <x:c r="H68" s="56" t="n">
        <x:f>IFERROR(G68/F68-1,"")</x:f>
        <x:v>0.0019509476031214223</x:v>
      </x:c>
      <x:c r="I68" s="34" t="n">
        <x:v>37.21</x:v>
      </x:c>
      <x:c r="J68" s="34" t="n">
        <x:v>40.77</x:v>
      </x:c>
      <x:c r="K68" s="56" t="n">
        <x:f>IFERROR((J68/C68)^(1/3)-1,"")</x:f>
        <x:v>-0.045549317365870645</x:v>
      </x:c>
      <x:c r="L68" t="str">
        <x:v>2023/2024/2025</x:v>
      </x:c>
      <x:c r="M68" s="30" t="str">
        <x:v>https://www.cnur.com/xueshu/2201.html</x:v>
      </x:c>
      <x:c r="N68" s="30" t="str">
        <x:v>https://www.cnur.com/xueshu/3514.html</x:v>
      </x:c>
    </x:row>
    <x:row r="69">
      <x:c r="A69" s="26" t="n">
        <x:v>65</x:v>
      </x:c>
      <x:c r="B69" s="26" t="str">
        <x:v>北京工业大学</x:v>
      </x:c>
      <x:c r="C69" s="34" t="n">
        <x:v>33.05</x:v>
      </x:c>
      <x:c r="D69" s="34" t="n">
        <x:v>57.71</x:v>
      </x:c>
      <x:c r="E69" s="56" t="n">
        <x:f>IFERROR(D69/C69-1,"")</x:f>
        <x:v>0.7461422087745841</x:v>
      </x:c>
      <x:c r="F69" s="34" t="n">
        <x:v>47.84</x:v>
      </x:c>
      <x:c r="G69" s="34" t="n">
        <x:v>60.33</x:v>
      </x:c>
      <x:c r="H69" s="56" t="n">
        <x:f>IFERROR(G69/F69-1,"")</x:f>
        <x:v>0.2610785953177257</x:v>
      </x:c>
      <x:c r="I69" s="34" t="n">
        <x:v>56.68</x:v>
      </x:c>
      <x:c r="J69" s="34" t="n">
        <x:v>66.47</x:v>
      </x:c>
      <x:c r="K69" s="56" t="n">
        <x:f>IFERROR((J69/C69)^(1/3)-1,"")</x:f>
        <x:v>0.262267513202862</x:v>
      </x:c>
      <x:c r="L69" t="str">
        <x:v>2023/2024/2025</x:v>
      </x:c>
      <x:c r="M69" s="30" t="str">
        <x:v>https://www.cnur.com/xueshu/2201.html</x:v>
      </x:c>
      <x:c r="N69" s="30" t="str">
        <x:v>https://www.cnur.com/xueshu/3514.html</x:v>
      </x:c>
    </x:row>
    <x:row r="70">
      <x:c r="A70" s="26" t="n">
        <x:v>66</x:v>
      </x:c>
      <x:c r="B70" s="26" t="str">
        <x:v>深圳大学</x:v>
      </x:c>
      <x:c r="C70" s="34"/>
      <x:c r="D70" s="34"/>
      <x:c r="E70" s="56" t="str">
        <x:f>IFERROR(D70/C70-1,"")</x:f>
      </x:c>
      <x:c r="F70" s="34"/>
      <x:c r="G70" s="34"/>
      <x:c r="H70" s="56" t="str">
        <x:f>IFERROR(G70/F70-1,"")</x:f>
      </x:c>
      <x:c r="I70" s="34"/>
      <x:c r="J70" s="34" t="n">
        <x:v>70.53</x:v>
      </x:c>
      <x:c r="K70" s="56" t="str">
        <x:f>IFERROR((J70/C70)^(1/3)-1,"")</x:f>
      </x:c>
      <x:c r="L70" t="str">
        <x:v>无历史汇总</x:v>
      </x:c>
      <x:c r="M70" s="30" t="str"/>
      <x:c r="N70" s="30" t="str"/>
    </x:row>
    <x:row r="71">
      <x:c r="A71" s="26" t="n">
        <x:v>67</x:v>
      </x:c>
      <x:c r="B71" s="26" t="str">
        <x:v>中国矿业大学</x:v>
      </x:c>
      <x:c r="C71" s="34" t="n">
        <x:v>48.79</x:v>
      </x:c>
      <x:c r="D71" s="34" t="n">
        <x:v>47.95</x:v>
      </x:c>
      <x:c r="E71" s="56" t="n">
        <x:f>IFERROR(D71/C71-1,"")</x:f>
        <x:v>-0.017216642754662725</x:v>
      </x:c>
      <x:c r="F71" s="34" t="n">
        <x:v>51.02</x:v>
      </x:c>
      <x:c r="G71" s="34" t="n">
        <x:v>55.52</x:v>
      </x:c>
      <x:c r="H71" s="56" t="n">
        <x:f>IFERROR(G71/F71-1,"")</x:f>
        <x:v>0.08820070560564486</x:v>
      </x:c>
      <x:c r="I71" s="34" t="n">
        <x:v>63.86</x:v>
      </x:c>
      <x:c r="J71" s="34" t="n">
        <x:v>66.95</x:v>
      </x:c>
      <x:c r="K71" s="56" t="n">
        <x:f>IFERROR((J71/C71)^(1/3)-1,"")</x:f>
        <x:v>0.11123672981751254</x:v>
      </x:c>
      <x:c r="L71" t="str">
        <x:v>2023/2024/2025</x:v>
      </x:c>
      <x:c r="M71" s="30" t="str">
        <x:v>https://www.cnur.com/xueshu/2201.html</x:v>
      </x:c>
      <x:c r="N71" s="30" t="str">
        <x:v>https://www.cnur.com/xueshu/3514.html</x:v>
      </x:c>
    </x:row>
    <x:row r="72">
      <x:c r="A72" s="26" t="n">
        <x:v>68</x:v>
      </x:c>
      <x:c r="B72" s="26" t="str">
        <x:v>浙江工业大学</x:v>
      </x:c>
      <x:c r="C72" s="34"/>
      <x:c r="D72" s="34"/>
      <x:c r="E72" s="56" t="str">
        <x:f>IFERROR(D72/C72-1,"")</x:f>
      </x:c>
      <x:c r="F72" s="34"/>
      <x:c r="G72" s="34"/>
      <x:c r="H72" s="56" t="str">
        <x:f>IFERROR(G72/F72-1,"")</x:f>
      </x:c>
      <x:c r="I72" s="34"/>
      <x:c r="J72" s="34" t="n">
        <x:v>43.5</x:v>
      </x:c>
      <x:c r="K72" s="56" t="str">
        <x:f>IFERROR((J72/C72)^(1/3)-1,"")</x:f>
      </x:c>
      <x:c r="L72" t="str">
        <x:v>无历史汇总</x:v>
      </x:c>
      <x:c r="M72" s="30" t="str"/>
      <x:c r="N72" s="30" t="str"/>
    </x:row>
    <x:row r="73">
      <x:c r="A73" s="26" t="n">
        <x:v>69</x:v>
      </x:c>
      <x:c r="B73" s="26" t="str">
        <x:v>西北农林科技大学</x:v>
      </x:c>
      <x:c r="C73" s="34" t="n">
        <x:v>48.91</x:v>
      </x:c>
      <x:c r="D73" s="34" t="n">
        <x:v>50.62</x:v>
      </x:c>
      <x:c r="E73" s="56" t="n">
        <x:f>IFERROR(D73/C73-1,"")</x:f>
        <x:v>0.03496217542424862</x:v>
      </x:c>
      <x:c r="F73" s="34" t="n">
        <x:v>60.1</x:v>
      </x:c>
      <x:c r="G73" s="34" t="n">
        <x:v>64.6</x:v>
      </x:c>
      <x:c r="H73" s="56" t="n">
        <x:f>IFERROR(G73/F73-1,"")</x:f>
        <x:v>0.07487520798668879</x:v>
      </x:c>
      <x:c r="I73" s="34" t="n">
        <x:v>83.68</x:v>
      </x:c>
      <x:c r="J73" s="34" t="n">
        <x:v>87.74</x:v>
      </x:c>
      <x:c r="K73" s="56" t="n">
        <x:f>IFERROR((J73/C73)^(1/3)-1,"")</x:f>
        <x:v>0.21506633708863743</x:v>
      </x:c>
      <x:c r="L73" t="str">
        <x:v>2023/2024/2025</x:v>
      </x:c>
      <x:c r="M73" s="30" t="str">
        <x:v>https://www.cnur.com/xueshu/2201.html</x:v>
      </x:c>
      <x:c r="N73" s="30" t="str">
        <x:v>https://www.cnur.com/xueshu/3514.html</x:v>
      </x:c>
    </x:row>
    <x:row r="74">
      <x:c r="A74" s="26" t="n">
        <x:v>70</x:v>
      </x:c>
      <x:c r="B74" s="26" t="str">
        <x:v>西北大学</x:v>
      </x:c>
      <x:c r="C74" s="34" t="n">
        <x:v>13.66</x:v>
      </x:c>
      <x:c r="D74" s="34" t="n">
        <x:v>29.8</x:v>
      </x:c>
      <x:c r="E74" s="56" t="n">
        <x:f>IFERROR(D74/C74-1,"")</x:f>
        <x:v>1.1815519765739384</x:v>
      </x:c>
      <x:c r="F74" s="34" t="n">
        <x:v>13.84</x:v>
      </x:c>
      <x:c r="G74" s="34" t="n">
        <x:v>33.91</x:v>
      </x:c>
      <x:c r="H74" s="56" t="n">
        <x:f>IFERROR(G74/F74-1,"")</x:f>
        <x:v>1.4501445086705198</x:v>
      </x:c>
      <x:c r="I74" s="34" t="n">
        <x:v>15.97</x:v>
      </x:c>
      <x:c r="J74" s="34" t="n">
        <x:v>27.08</x:v>
      </x:c>
      <x:c r="K74" s="56" t="n">
        <x:f>IFERROR((J74/C74)^(1/3)-1,"")</x:f>
        <x:v>0.2562208199234066</x:v>
      </x:c>
      <x:c r="L74" t="str">
        <x:v>2023/2024/2025</x:v>
      </x:c>
      <x:c r="M74" s="30" t="str">
        <x:v>https://www.cnur.com/xueshu/2201.html</x:v>
      </x:c>
      <x:c r="N74" s="30" t="str">
        <x:v>https://www.cnur.com/xueshu/3514.html</x:v>
      </x:c>
    </x:row>
    <x:row r="75">
      <x:c r="A75" s="26" t="n">
        <x:v>71</x:v>
      </x:c>
      <x:c r="B75" s="26" t="str">
        <x:v>云南大学</x:v>
      </x:c>
      <x:c r="C75" s="34" t="n">
        <x:v>46.89</x:v>
      </x:c>
      <x:c r="D75" s="34" t="n">
        <x:v>69.89</x:v>
      </x:c>
      <x:c r="E75" s="56" t="n">
        <x:f>IFERROR(D75/C75-1,"")</x:f>
        <x:v>0.4905097035615269</x:v>
      </x:c>
      <x:c r="F75" s="34" t="n">
        <x:v>18.35</x:v>
      </x:c>
      <x:c r="G75" s="34" t="n">
        <x:v>36.02</x:v>
      </x:c>
      <x:c r="H75" s="56" t="n">
        <x:f>IFERROR(G75/F75-1,"")</x:f>
        <x:v>0.9629427792915533</x:v>
      </x:c>
      <x:c r="I75" s="34" t="n">
        <x:v>30.27</x:v>
      </x:c>
      <x:c r="J75" s="34" t="n">
        <x:v>29.81</x:v>
      </x:c>
      <x:c r="K75" s="56" t="n">
        <x:f>IFERROR((J75/C75)^(1/3)-1,"")</x:f>
        <x:v>-0.1401409872216698</x:v>
      </x:c>
      <x:c r="L75" t="str">
        <x:v>2023/2024/2025</x:v>
      </x:c>
      <x:c r="M75" s="30" t="str">
        <x:v>https://www.cnur.com/xueshu/2201.html</x:v>
      </x:c>
      <x:c r="N75" s="30" t="str">
        <x:v>https://www.cnur.com/xueshu/3514.html</x:v>
      </x:c>
    </x:row>
    <x:row r="76">
      <x:c r="A76" s="26" t="n">
        <x:v>72</x:v>
      </x:c>
      <x:c r="B76" s="26" t="str">
        <x:v>东华大学</x:v>
      </x:c>
      <x:c r="C76" s="34" t="n">
        <x:v>36.93</x:v>
      </x:c>
      <x:c r="D76" s="34" t="n">
        <x:v>35.45</x:v>
      </x:c>
      <x:c r="E76" s="56" t="n">
        <x:f>IFERROR(D76/C76-1,"")</x:f>
        <x:v>-0.04007581911724878</x:v>
      </x:c>
      <x:c r="F76" s="34" t="n">
        <x:v>37.35</x:v>
      </x:c>
      <x:c r="G76" s="34" t="n">
        <x:v>35.18</x:v>
      </x:c>
      <x:c r="H76" s="56" t="n">
        <x:f>IFERROR(G76/F76-1,"")</x:f>
        <x:v>-0.058099062918340105</x:v>
      </x:c>
      <x:c r="I76" s="34" t="n">
        <x:v>38.54</x:v>
      </x:c>
      <x:c r="J76" s="34" t="n">
        <x:v>40.87</x:v>
      </x:c>
      <x:c r="K76" s="56" t="n">
        <x:f>IFERROR((J76/C76)^(1/3)-1,"")</x:f>
        <x:v>0.0343680800412407</x:v>
      </x:c>
      <x:c r="L76" t="str">
        <x:v>2023/2024/2025</x:v>
      </x:c>
      <x:c r="M76" s="30" t="str">
        <x:v>https://www.cnur.com/xueshu/2201.html</x:v>
      </x:c>
      <x:c r="N76" s="30" t="str">
        <x:v>https://www.cnur.com/xueshu/3514.html</x:v>
      </x:c>
    </x:row>
    <x:row r="77">
      <x:c r="A77" s="26" t="n">
        <x:v>73</x:v>
      </x:c>
      <x:c r="B77" s="26" t="str">
        <x:v>中国石油大学（华东）</x:v>
      </x:c>
      <x:c r="C77" s="34" t="n">
        <x:v>49.07</x:v>
      </x:c>
      <x:c r="D77" s="34" t="n">
        <x:v>52.28</x:v>
      </x:c>
      <x:c r="E77" s="56" t="n">
        <x:f>IFERROR(D77/C77-1,"")</x:f>
        <x:v>0.06541675157937643</x:v>
      </x:c>
      <x:c r="F77" s="34" t="n">
        <x:v>50.12</x:v>
      </x:c>
      <x:c r="G77" s="34" t="n">
        <x:v>50.24</x:v>
      </x:c>
      <x:c r="H77" s="56" t="n">
        <x:f>IFERROR(G77/F77-1,"")</x:f>
        <x:v>0.002394253790901857</x:v>
      </x:c>
      <x:c r="I77" s="34" t="n">
        <x:v>47.71</x:v>
      </x:c>
      <x:c r="J77" s="34" t="n">
        <x:v>51.4</x:v>
      </x:c>
      <x:c r="K77" s="56" t="n">
        <x:f>IFERROR((J77/C77)^(1/3)-1,"")</x:f>
        <x:v>0.015583618441201041</x:v>
      </x:c>
      <x:c r="L77" t="str">
        <x:v>2023/2024/2025</x:v>
      </x:c>
      <x:c r="M77" s="30" t="str">
        <x:v>https://www.cnur.com/xueshu/2201.html</x:v>
      </x:c>
      <x:c r="N77" s="30" t="str">
        <x:v>https://www.cnur.com/xueshu/3514.html</x:v>
      </x:c>
    </x:row>
    <x:row r="78">
      <x:c r="A78" s="26" t="n">
        <x:v>74</x:v>
      </x:c>
      <x:c r="B78" s="26" t="str">
        <x:v>南昌大学</x:v>
      </x:c>
      <x:c r="C78" s="34" t="n">
        <x:v>40.16</x:v>
      </x:c>
      <x:c r="D78" s="34" t="n">
        <x:v>44.45</x:v>
      </x:c>
      <x:c r="E78" s="56" t="n">
        <x:f>IFERROR(D78/C78-1,"")</x:f>
        <x:v>0.10682270916334669</x:v>
      </x:c>
      <x:c r="F78" s="34" t="n">
        <x:v>37.5</x:v>
      </x:c>
      <x:c r="G78" s="34" t="n">
        <x:v>49.8</x:v>
      </x:c>
      <x:c r="H78" s="56" t="n">
        <x:f>IFERROR(G78/F78-1,"")</x:f>
        <x:v>0.32799999999999985</x:v>
      </x:c>
      <x:c r="I78" s="34" t="n">
        <x:v>47.22</x:v>
      </x:c>
      <x:c r="J78" s="34" t="n">
        <x:v>55.5</x:v>
      </x:c>
      <x:c r="K78" s="56" t="n">
        <x:f>IFERROR((J78/C78)^(1/3)-1,"")</x:f>
        <x:v>0.11386637289207946</x:v>
      </x:c>
      <x:c r="L78" t="str">
        <x:v>2023/2024/2025</x:v>
      </x:c>
      <x:c r="M78" s="30" t="str">
        <x:v>https://www.cnur.com/xueshu/2201.html</x:v>
      </x:c>
      <x:c r="N78" s="30" t="str">
        <x:v>https://www.cnur.com/xueshu/3514.html</x:v>
      </x:c>
    </x:row>
    <x:row r="79">
      <x:c r="A79" s="26" t="n">
        <x:v>75</x:v>
      </x:c>
      <x:c r="B79" s="26" t="str">
        <x:v>中国地质大学（北京）</x:v>
      </x:c>
      <x:c r="C79" s="34" t="n">
        <x:v>29.85</x:v>
      </x:c>
      <x:c r="D79" s="34" t="n">
        <x:v>27.8</x:v>
      </x:c>
      <x:c r="E79" s="56" t="n">
        <x:f>IFERROR(D79/C79-1,"")</x:f>
        <x:v>-0.06867671691792299</x:v>
      </x:c>
      <x:c r="F79" s="34" t="n">
        <x:v>36.01</x:v>
      </x:c>
      <x:c r="G79" s="34" t="n">
        <x:v>36.98</x:v>
      </x:c>
      <x:c r="H79" s="56" t="n">
        <x:f>IFERROR(G79/F79-1,"")</x:f>
        <x:v>0.026936961955012384</x:v>
      </x:c>
      <x:c r="I79" s="34" t="n">
        <x:v>40.13</x:v>
      </x:c>
      <x:c r="J79" s="34" t="n">
        <x:v>75.41</x:v>
      </x:c>
      <x:c r="K79" s="56" t="n">
        <x:f>IFERROR((J79/C79)^(1/3)-1,"")</x:f>
        <x:v>0.3619511637296329</x:v>
      </x:c>
      <x:c r="L79" t="str">
        <x:v>2023/2024/2025</x:v>
      </x:c>
      <x:c r="M79" s="30" t="str">
        <x:v>https://www.cnur.com/xueshu/2201.html</x:v>
      </x:c>
      <x:c r="N79" s="30" t="str">
        <x:v>https://www.cnur.com/xueshu/3514.html</x:v>
      </x:c>
    </x:row>
    <x:row r="80">
      <x:c r="A80" s="26" t="n">
        <x:v>76</x:v>
      </x:c>
      <x:c r="B80" s="26" t="str">
        <x:v>中国矿业大学（北京）</x:v>
      </x:c>
      <x:c r="C80" s="34" t="n">
        <x:v>23.37</x:v>
      </x:c>
      <x:c r="D80" s="34" t="n">
        <x:v>23.95</x:v>
      </x:c>
      <x:c r="E80" s="56" t="n">
        <x:f>IFERROR(D80/C80-1,"")</x:f>
        <x:v>0.024818142918271224</x:v>
      </x:c>
      <x:c r="F80" s="34" t="n">
        <x:v>25.26</x:v>
      </x:c>
      <x:c r="G80" s="34"/>
      <x:c r="H80" s="56" t="n">
        <x:f>IFERROR(G80/F80-1,"")</x:f>
        <x:v>-1</x:v>
      </x:c>
      <x:c r="I80" s="34"/>
      <x:c r="J80" s="34" t="n">
        <x:v>34.61</x:v>
      </x:c>
      <x:c r="K80" s="56" t="n">
        <x:f>IFERROR((J80/C80)^(1/3)-1,"")</x:f>
        <x:v>0.13984980420843307</x:v>
      </x:c>
      <x:c r="L80" t="str">
        <x:v>2023</x:v>
      </x:c>
      <x:c r="M80" s="30" t="str">
        <x:v>https://www.cnur.com/xueshu/2201.html</x:v>
      </x:c>
      <x:c r="N80" s="30" t="str"/>
    </x:row>
    <x:row r="81">
      <x:c r="A81" s="26" t="n">
        <x:v>77</x:v>
      </x:c>
      <x:c r="B81" s="26" t="str">
        <x:v>福州大学</x:v>
      </x:c>
      <x:c r="C81" s="34" t="n">
        <x:v>26.1</x:v>
      </x:c>
      <x:c r="D81" s="34" t="n">
        <x:v>39.01</x:v>
      </x:c>
      <x:c r="E81" s="56" t="n">
        <x:f>IFERROR(D81/C81-1,"")</x:f>
        <x:v>0.49463601532567036</x:v>
      </x:c>
      <x:c r="F81" s="34" t="n">
        <x:v>40.21</x:v>
      </x:c>
      <x:c r="G81" s="34" t="n">
        <x:v>42.57</x:v>
      </x:c>
      <x:c r="H81" s="56" t="n">
        <x:f>IFERROR(G81/F81-1,"")</x:f>
        <x:v>0.05869186769460333</x:v>
      </x:c>
      <x:c r="I81" s="34" t="n">
        <x:v>33.44</x:v>
      </x:c>
      <x:c r="J81" s="34" t="n">
        <x:v>37.04</x:v>
      </x:c>
      <x:c r="K81" s="56" t="n">
        <x:f>IFERROR((J81/C81)^(1/3)-1,"")</x:f>
        <x:v>0.12376842030071455</x:v>
      </x:c>
      <x:c r="L81" t="str">
        <x:v>2023/2024/2025</x:v>
      </x:c>
      <x:c r="M81" s="30" t="str">
        <x:v>https://www.cnur.com/xueshu/2201.html</x:v>
      </x:c>
      <x:c r="N81" s="30" t="str">
        <x:v>https://www.cnur.com/xueshu/3514.html</x:v>
      </x:c>
    </x:row>
    <x:row r="82">
      <x:c r="A82" s="26" t="n">
        <x:v>78</x:v>
      </x:c>
      <x:c r="B82" s="26" t="str">
        <x:v>宁波大学</x:v>
      </x:c>
      <x:c r="C82" s="34" t="n">
        <x:v>38.53</x:v>
      </x:c>
      <x:c r="D82" s="34" t="n">
        <x:v>44.03</x:v>
      </x:c>
      <x:c r="E82" s="56" t="n">
        <x:f>IFERROR(D82/C82-1,"")</x:f>
        <x:v>0.14274591227614852</x:v>
      </x:c>
      <x:c r="F82" s="34" t="n">
        <x:v>39.19</x:v>
      </x:c>
      <x:c r="G82" s="34" t="n">
        <x:v>48.67</x:v>
      </x:c>
      <x:c r="H82" s="56" t="n">
        <x:f>IFERROR(G82/F82-1,"")</x:f>
        <x:v>0.24189844348047984</x:v>
      </x:c>
      <x:c r="I82" s="34" t="n">
        <x:v>45.73</x:v>
      </x:c>
      <x:c r="J82" s="34" t="n">
        <x:v>47.07</x:v>
      </x:c>
      <x:c r="K82" s="56" t="n">
        <x:f>IFERROR((J82/C82)^(1/3)-1,"")</x:f>
        <x:v>0.06900990634285109</x:v>
      </x:c>
      <x:c r="L82" t="str">
        <x:v>2023/2024/2025</x:v>
      </x:c>
      <x:c r="M82" s="30" t="str">
        <x:v>https://www.cnur.com/xueshu/2201.html</x:v>
      </x:c>
      <x:c r="N82" s="30" t="str">
        <x:v>https://www.cnur.com/xueshu/3514.html</x:v>
      </x:c>
    </x:row>
    <x:row r="83">
      <x:c r="A83" s="26" t="n">
        <x:v>79</x:v>
      </x:c>
      <x:c r="B83" s="26" t="str">
        <x:v>华南师范大学</x:v>
      </x:c>
      <x:c r="C83" s="34" t="n">
        <x:v>38.16</x:v>
      </x:c>
      <x:c r="D83" s="34" t="n">
        <x:v>42.74</x:v>
      </x:c>
      <x:c r="E83" s="56" t="n">
        <x:f>IFERROR(D83/C83-1,"")</x:f>
        <x:v>0.12002096436058718</x:v>
      </x:c>
      <x:c r="F83" s="34" t="n">
        <x:v>38.16</x:v>
      </x:c>
      <x:c r="G83" s="34" t="n">
        <x:v>47.16</x:v>
      </x:c>
      <x:c r="H83" s="56" t="n">
        <x:f>IFERROR(G83/F83-1,"")</x:f>
        <x:v>0.23584905660377364</x:v>
      </x:c>
      <x:c r="I83" s="34" t="n">
        <x:v>37.07</x:v>
      </x:c>
      <x:c r="J83" s="34" t="n">
        <x:v>34.69</x:v>
      </x:c>
      <x:c r="K83" s="56" t="n">
        <x:f>IFERROR((J83/C83)^(1/3)-1,"")</x:f>
        <x:v>-0.03127915591848918</x:v>
      </x:c>
      <x:c r="L83" t="str">
        <x:v>2023/2024/2025</x:v>
      </x:c>
      <x:c r="M83" s="30" t="str">
        <x:v>https://www.cnur.com/xueshu/2201.html</x:v>
      </x:c>
      <x:c r="N83" s="30" t="str">
        <x:v>https://www.cnur.com/xueshu/3514.html</x:v>
      </x:c>
    </x:row>
    <x:row r="84">
      <x:c r="A84" s="26" t="n">
        <x:v>80</x:v>
      </x:c>
      <x:c r="B84" s="26" t="str">
        <x:v>合肥工业大学</x:v>
      </x:c>
      <x:c r="C84" s="34" t="n">
        <x:v>45.91</x:v>
      </x:c>
      <x:c r="D84" s="34" t="n">
        <x:v>50.63</x:v>
      </x:c>
      <x:c r="E84" s="56" t="n">
        <x:f>IFERROR(D84/C84-1,"")</x:f>
        <x:v>0.10280984534959714</x:v>
      </x:c>
      <x:c r="F84" s="34" t="n">
        <x:v>48.69</x:v>
      </x:c>
      <x:c r="G84" s="34" t="n">
        <x:v>54.99</x:v>
      </x:c>
      <x:c r="H84" s="56" t="n">
        <x:f>IFERROR(G84/F84-1,"")</x:f>
        <x:v>0.12939001848428844</x:v>
      </x:c>
      <x:c r="I84" s="34" t="n">
        <x:v>66.13</x:v>
      </x:c>
      <x:c r="J84" s="34" t="n">
        <x:v>73.63</x:v>
      </x:c>
      <x:c r="K84" s="56" t="n">
        <x:f>IFERROR((J84/C84)^(1/3)-1,"")</x:f>
        <x:v>0.17052987515927076</x:v>
      </x:c>
      <x:c r="L84" t="str">
        <x:v>2023/2024/2025</x:v>
      </x:c>
      <x:c r="M84" s="30" t="str">
        <x:v>https://www.cnur.com/xueshu/2201.html</x:v>
      </x:c>
      <x:c r="N84" s="30" t="str">
        <x:v>https://www.cnur.com/xueshu/3514.html</x:v>
      </x:c>
    </x:row>
    <x:row r="85">
      <x:c r="A85" s="26" t="n">
        <x:v>81</x:v>
      </x:c>
      <x:c r="B85" s="26" t="str">
        <x:v>江苏大学</x:v>
      </x:c>
      <x:c r="C85" s="34"/>
      <x:c r="D85" s="34"/>
      <x:c r="E85" s="56" t="str">
        <x:f>IFERROR(D85/C85-1,"")</x:f>
      </x:c>
      <x:c r="F85" s="34"/>
      <x:c r="G85" s="34"/>
      <x:c r="H85" s="56" t="str">
        <x:f>IFERROR(G85/F85-1,"")</x:f>
      </x:c>
      <x:c r="I85" s="34"/>
      <x:c r="J85" s="34" t="n">
        <x:v>26.76</x:v>
      </x:c>
      <x:c r="K85" s="56" t="str">
        <x:f>IFERROR((J85/C85)^(1/3)-1,"")</x:f>
      </x:c>
      <x:c r="L85" t="str">
        <x:v>无历史汇总</x:v>
      </x:c>
      <x:c r="M85" s="30" t="str"/>
      <x:c r="N85" s="30" t="str"/>
    </x:row>
    <x:row r="86">
      <x:c r="A86" s="26" t="n">
        <x:v>82</x:v>
      </x:c>
      <x:c r="B86" s="26" t="str">
        <x:v>南京邮电大学</x:v>
      </x:c>
      <x:c r="C86" s="34" t="n">
        <x:v>15.74</x:v>
      </x:c>
      <x:c r="D86" s="34" t="n">
        <x:v>19.75</x:v>
      </x:c>
      <x:c r="E86" s="56" t="n">
        <x:f>IFERROR(D86/C86-1,"")</x:f>
        <x:v>0.2547649301143584</x:v>
      </x:c>
      <x:c r="F86" s="34" t="n">
        <x:v>18.03</x:v>
      </x:c>
      <x:c r="G86" s="34"/>
      <x:c r="H86" s="56" t="n">
        <x:f>IFERROR(G86/F86-1,"")</x:f>
        <x:v>-1</x:v>
      </x:c>
      <x:c r="I86" s="34"/>
      <x:c r="J86" s="34" t="n">
        <x:v>20.11</x:v>
      </x:c>
      <x:c r="K86" s="56" t="n">
        <x:f>IFERROR((J86/C86)^(1/3)-1,"")</x:f>
        <x:v>0.08509837772724249</x:v>
      </x:c>
      <x:c r="L86" t="str">
        <x:v>2023</x:v>
      </x:c>
      <x:c r="M86" s="30" t="str">
        <x:v>https://www.cnur.com/xueshu/2201.html</x:v>
      </x:c>
      <x:c r="N86" s="30" t="str"/>
    </x:row>
    <x:row r="87">
      <x:c r="A87" s="26" t="n">
        <x:v>83</x:v>
      </x:c>
      <x:c r="B87" s="26" t="str">
        <x:v>北京林业大学</x:v>
      </x:c>
      <x:c r="C87" s="34" t="n">
        <x:v>23.37</x:v>
      </x:c>
      <x:c r="D87" s="34" t="n">
        <x:v>29.57</x:v>
      </x:c>
      <x:c r="E87" s="56" t="n">
        <x:f>IFERROR(D87/C87-1,"")</x:f>
        <x:v>0.26529738981600337</x:v>
      </x:c>
      <x:c r="F87" s="34" t="n">
        <x:v>25.59</x:v>
      </x:c>
      <x:c r="G87" s="34" t="n">
        <x:v>37.38</x:v>
      </x:c>
      <x:c r="H87" s="56" t="n">
        <x:f>IFERROR(G87/F87-1,"")</x:f>
        <x:v>0.46072684642438455</x:v>
      </x:c>
      <x:c r="I87" s="34" t="n">
        <x:v>42.14</x:v>
      </x:c>
      <x:c r="J87" s="34" t="n">
        <x:v>78.2</x:v>
      </x:c>
      <x:c r="K87" s="56" t="n">
        <x:f>IFERROR((J87/C87)^(1/3)-1,"")</x:f>
        <x:v>0.4957167145164958</x:v>
      </x:c>
      <x:c r="L87" t="str">
        <x:v>2023/2024/2025</x:v>
      </x:c>
      <x:c r="M87" s="30" t="str">
        <x:v>https://www.cnur.com/xueshu/2201.html</x:v>
      </x:c>
      <x:c r="N87" s="30" t="str">
        <x:v>https://www.cnur.com/xueshu/3514.html</x:v>
      </x:c>
    </x:row>
    <x:row r="88">
      <x:c r="A88" s="26" t="n">
        <x:v>84</x:v>
      </x:c>
      <x:c r="B88" s="26" t="str">
        <x:v>华北电力大学</x:v>
      </x:c>
      <x:c r="C88" s="34" t="n">
        <x:v>48.51</x:v>
      </x:c>
      <x:c r="D88" s="34" t="n">
        <x:v>50.25</x:v>
      </x:c>
      <x:c r="E88" s="56" t="n">
        <x:f>IFERROR(D88/C88-1,"")</x:f>
        <x:v>0.035868893011750114</x:v>
      </x:c>
      <x:c r="F88" s="34" t="n">
        <x:v>52.47</x:v>
      </x:c>
      <x:c r="G88" s="34" t="n">
        <x:v>53.08</x:v>
      </x:c>
      <x:c r="H88" s="56" t="n">
        <x:f>IFERROR(G88/F88-1,"")</x:f>
        <x:v>0.011625690870973981</x:v>
      </x:c>
      <x:c r="I88" s="34" t="n">
        <x:v>57.84</x:v>
      </x:c>
      <x:c r="J88" s="34" t="n">
        <x:v>62.24</x:v>
      </x:c>
      <x:c r="K88" s="56" t="n">
        <x:f>IFERROR((J88/C88)^(1/3)-1,"")</x:f>
        <x:v>0.08662435902246313</x:v>
      </x:c>
      <x:c r="L88" t="str">
        <x:v>2023/2024/2025</x:v>
      </x:c>
      <x:c r="M88" s="30" t="str">
        <x:v>https://www.cnur.com/xueshu/2201.html</x:v>
      </x:c>
      <x:c r="N88" s="30" t="str">
        <x:v>https://www.cnur.com/xueshu/3514.html</x:v>
      </x:c>
    </x:row>
    <x:row r="89">
      <x:c r="A89" s="26" t="n">
        <x:v>85</x:v>
      </x:c>
      <x:c r="B89" s="26" t="str">
        <x:v>贵州大学</x:v>
      </x:c>
      <x:c r="C89" s="34" t="n">
        <x:v>35.34</x:v>
      </x:c>
      <x:c r="D89" s="34" t="n">
        <x:v>38.98</x:v>
      </x:c>
      <x:c r="E89" s="56" t="n">
        <x:f>IFERROR(D89/C89-1,"")</x:f>
        <x:v>0.10299943406904344</x:v>
      </x:c>
      <x:c r="F89" s="34" t="n">
        <x:v>31.29</x:v>
      </x:c>
      <x:c r="G89" s="34" t="n">
        <x:v>41.73</x:v>
      </x:c>
      <x:c r="H89" s="56" t="n">
        <x:f>IFERROR(G89/F89-1,"")</x:f>
        <x:v>0.33365292425695103</x:v>
      </x:c>
      <x:c r="I89" s="34" t="n">
        <x:v>39.73</x:v>
      </x:c>
      <x:c r="J89" s="34" t="n">
        <x:v>45.87</x:v>
      </x:c>
      <x:c r="K89" s="56" t="n">
        <x:f>IFERROR((J89/C89)^(1/3)-1,"")</x:f>
        <x:v>0.09082244371346104</x:v>
      </x:c>
      <x:c r="L89" t="str">
        <x:v>2023/2024/2025</x:v>
      </x:c>
      <x:c r="M89" s="30" t="str">
        <x:v>https://www.cnur.com/xueshu/2201.html</x:v>
      </x:c>
      <x:c r="N89" s="30" t="str">
        <x:v>https://www.cnur.com/xueshu/3514.html</x:v>
      </x:c>
    </x:row>
    <x:row r="90">
      <x:c r="A90" s="26" t="n">
        <x:v>86</x:v>
      </x:c>
      <x:c r="B90" s="26" t="str">
        <x:v>广西大学</x:v>
      </x:c>
      <x:c r="C90" s="34" t="n">
        <x:v>31.28</x:v>
      </x:c>
      <x:c r="D90" s="34" t="n">
        <x:v>36.29</x:v>
      </x:c>
      <x:c r="E90" s="56" t="n">
        <x:f>IFERROR(D90/C90-1,"")</x:f>
        <x:v>0.16016624040920702</x:v>
      </x:c>
      <x:c r="F90" s="34" t="n">
        <x:v>30.02</x:v>
      </x:c>
      <x:c r="G90" s="34" t="n">
        <x:v>36.98</x:v>
      </x:c>
      <x:c r="H90" s="56" t="n">
        <x:f>IFERROR(G90/F90-1,"")</x:f>
        <x:v>0.2318454363757494</x:v>
      </x:c>
      <x:c r="I90" s="34" t="n">
        <x:v>30.53</x:v>
      </x:c>
      <x:c r="J90" s="34" t="n">
        <x:v>32.28</x:v>
      </x:c>
      <x:c r="K90" s="56" t="n">
        <x:f>IFERROR((J90/C90)^(1/3)-1,"")</x:f>
        <x:v>0.010544851748189421</x:v>
      </x:c>
      <x:c r="L90" t="str">
        <x:v>2023/2024/2025</x:v>
      </x:c>
      <x:c r="M90" s="30" t="str">
        <x:v>https://www.cnur.com/xueshu/2201.html</x:v>
      </x:c>
      <x:c r="N90" s="30" t="str">
        <x:v>https://www.cnur.com/xueshu/3514.html</x:v>
      </x:c>
    </x:row>
    <x:row r="91">
      <x:c r="A91" s="26" t="n">
        <x:v>87</x:v>
      </x:c>
      <x:c r="B91" s="26" t="str">
        <x:v>海南大学</x:v>
      </x:c>
      <x:c r="C91" s="34" t="n">
        <x:v>38.65</x:v>
      </x:c>
      <x:c r="D91" s="34" t="n">
        <x:v>49.15</x:v>
      </x:c>
      <x:c r="E91" s="56" t="n">
        <x:f>IFERROR(D91/C91-1,"")</x:f>
        <x:v>0.27166882276843474</x:v>
      </x:c>
      <x:c r="F91" s="34" t="n">
        <x:v>45.74</x:v>
      </x:c>
      <x:c r="G91" s="34" t="n">
        <x:v>54.21</x:v>
      </x:c>
      <x:c r="H91" s="56" t="n">
        <x:f>IFERROR(G91/F91-1,"")</x:f>
        <x:v>0.18517708788806297</x:v>
      </x:c>
      <x:c r="I91" s="34" t="n">
        <x:v>56.94</x:v>
      </x:c>
      <x:c r="J91" s="34" t="n">
        <x:v>55.54</x:v>
      </x:c>
      <x:c r="K91" s="56" t="n">
        <x:f>IFERROR((J91/C91)^(1/3)-1,"")</x:f>
        <x:v>0.12845815412212436</x:v>
      </x:c>
      <x:c r="L91" t="str">
        <x:v>2023/2024/2025</x:v>
      </x:c>
      <x:c r="M91" s="30" t="str">
        <x:v>https://www.cnur.com/xueshu/2201.html</x:v>
      </x:c>
      <x:c r="N91" s="30" t="str">
        <x:v>https://www.cnur.com/xueshu/3514.html</x:v>
      </x:c>
    </x:row>
    <x:row r="92">
      <x:c r="A92" s="26" t="n">
        <x:v>88</x:v>
      </x:c>
      <x:c r="B92" s="26" t="str">
        <x:v>南京工业大学</x:v>
      </x:c>
      <x:c r="C92" s="34"/>
      <x:c r="D92" s="34"/>
      <x:c r="E92" s="56" t="str">
        <x:f>IFERROR(D92/C92-1,"")</x:f>
      </x:c>
      <x:c r="F92" s="34"/>
      <x:c r="G92" s="34"/>
      <x:c r="H92" s="56" t="str">
        <x:f>IFERROR(G92/F92-1,"")</x:f>
      </x:c>
      <x:c r="I92" s="34"/>
      <x:c r="J92" s="34" t="n">
        <x:v>27.27</x:v>
      </x:c>
      <x:c r="K92" s="56" t="str">
        <x:f>IFERROR((J92/C92)^(1/3)-1,"")</x:f>
      </x:c>
      <x:c r="L92" t="str">
        <x:v>无历史汇总</x:v>
      </x:c>
      <x:c r="M92" s="30" t="str"/>
      <x:c r="N92" s="30" t="str"/>
    </x:row>
    <x:row r="93">
      <x:c r="A93" s="26" t="n">
        <x:v>89</x:v>
      </x:c>
      <x:c r="B93" s="26" t="str">
        <x:v>长安大学</x:v>
      </x:c>
      <x:c r="C93" s="34" t="n">
        <x:v>49.34</x:v>
      </x:c>
      <x:c r="D93" s="34" t="n">
        <x:v>46.52</x:v>
      </x:c>
      <x:c r="E93" s="56" t="n">
        <x:f>IFERROR(D93/C93-1,"")</x:f>
        <x:v>-0.05715443858937985</x:v>
      </x:c>
      <x:c r="F93" s="34" t="n">
        <x:v>48.06</x:v>
      </x:c>
      <x:c r="G93" s="34" t="n">
        <x:v>44.1</x:v>
      </x:c>
      <x:c r="H93" s="56" t="n">
        <x:f>IFERROR(G93/F93-1,"")</x:f>
        <x:v>-0.08239700374531833</x:v>
      </x:c>
      <x:c r="I93" s="34" t="n">
        <x:v>48.44</x:v>
      </x:c>
      <x:c r="J93" s="34" t="n">
        <x:v>54.46</x:v>
      </x:c>
      <x:c r="K93" s="56" t="n">
        <x:f>IFERROR((J93/C93)^(1/3)-1,"")</x:f>
        <x:v>0.033457997940898876</x:v>
      </x:c>
      <x:c r="L93" t="str">
        <x:v>2023/2024/2025</x:v>
      </x:c>
      <x:c r="M93" s="30" t="str">
        <x:v>https://www.cnur.com/xueshu/2201.html</x:v>
      </x:c>
      <x:c r="N93" s="30" t="str">
        <x:v>https://www.cnur.com/xueshu/3514.html</x:v>
      </x:c>
    </x:row>
    <x:row r="94">
      <x:c r="A94" s="26" t="n">
        <x:v>90</x:v>
      </x:c>
      <x:c r="B94" s="26" t="str">
        <x:v>福建师范大学</x:v>
      </x:c>
      <x:c r="C94" s="34"/>
      <x:c r="D94" s="34"/>
      <x:c r="E94" s="56" t="str">
        <x:f>IFERROR(D94/C94-1,"")</x:f>
      </x:c>
      <x:c r="F94" s="34"/>
      <x:c r="G94" s="34"/>
      <x:c r="H94" s="56" t="str">
        <x:f>IFERROR(G94/F94-1,"")</x:f>
      </x:c>
      <x:c r="I94" s="34"/>
      <x:c r="J94" s="34" t="n">
        <x:v>24.54</x:v>
      </x:c>
      <x:c r="K94" s="56" t="str">
        <x:f>IFERROR((J94/C94)^(1/3)-1,"")</x:f>
      </x:c>
      <x:c r="L94" t="str">
        <x:v>无历史汇总</x:v>
      </x:c>
      <x:c r="M94" s="30" t="str"/>
      <x:c r="N94" s="30" t="str"/>
    </x:row>
    <x:row r="95">
      <x:c r="A95" s="26" t="n">
        <x:v>91</x:v>
      </x:c>
      <x:c r="B95" s="26" t="str">
        <x:v>浙江师范大学</x:v>
      </x:c>
      <x:c r="C95" s="34"/>
      <x:c r="D95" s="34"/>
      <x:c r="E95" s="56" t="str">
        <x:f>IFERROR(D95/C95-1,"")</x:f>
      </x:c>
      <x:c r="F95" s="34"/>
      <x:c r="G95" s="34"/>
      <x:c r="H95" s="56" t="str">
        <x:f>IFERROR(G95/F95-1,"")</x:f>
      </x:c>
      <x:c r="I95" s="34"/>
      <x:c r="J95" s="34" t="n">
        <x:v>31.86</x:v>
      </x:c>
      <x:c r="K95" s="56" t="str">
        <x:f>IFERROR((J95/C95)^(1/3)-1,"")</x:f>
      </x:c>
      <x:c r="L95" t="str">
        <x:v>无历史汇总</x:v>
      </x:c>
      <x:c r="M95" s="30" t="str"/>
      <x:c r="N95" s="30" t="str"/>
    </x:row>
    <x:row r="96">
      <x:c r="A96" s="26" t="n">
        <x:v>92</x:v>
      </x:c>
      <x:c r="B96" s="26" t="str">
        <x:v>湖南师范大学</x:v>
      </x:c>
      <x:c r="C96" s="34" t="n">
        <x:v>18.74</x:v>
      </x:c>
      <x:c r="D96" s="34" t="n">
        <x:v>21.43</x:v>
      </x:c>
      <x:c r="E96" s="56" t="n">
        <x:f>IFERROR(D96/C96-1,"")</x:f>
        <x:v>0.1435432230522946</x:v>
      </x:c>
      <x:c r="F96" s="34" t="n">
        <x:v>19.29</x:v>
      </x:c>
      <x:c r="G96" s="34" t="n">
        <x:v>26.4</x:v>
      </x:c>
      <x:c r="H96" s="56" t="n">
        <x:f>IFERROR(G96/F96-1,"")</x:f>
        <x:v>0.3685847589424571</x:v>
      </x:c>
      <x:c r="I96" s="34" t="n">
        <x:v>22.28</x:v>
      </x:c>
      <x:c r="J96" s="34" t="n">
        <x:v>27.07</x:v>
      </x:c>
      <x:c r="K96" s="56" t="n">
        <x:f>IFERROR((J96/C96)^(1/3)-1,"")</x:f>
        <x:v>0.13041928088907673</x:v>
      </x:c>
      <x:c r="L96" t="str">
        <x:v>2023/2024/2025</x:v>
      </x:c>
      <x:c r="M96" s="30" t="str">
        <x:v>https://www.cnur.com/xueshu/2201.html</x:v>
      </x:c>
      <x:c r="N96" s="30" t="str">
        <x:v>https://www.cnur.com/xueshu/3514.html</x:v>
      </x:c>
    </x:row>
    <x:row r="97">
      <x:c r="A97" s="26" t="n">
        <x:v>93</x:v>
      </x:c>
      <x:c r="B97" s="26" t="str">
        <x:v>南京林业大学</x:v>
      </x:c>
      <x:c r="C97" s="34" t="n">
        <x:v>16.34</x:v>
      </x:c>
      <x:c r="D97" s="34" t="n">
        <x:v>18.59</x:v>
      </x:c>
      <x:c r="E97" s="56" t="n">
        <x:f>IFERROR(D97/C97-1,"")</x:f>
        <x:v>0.13769889840881278</x:v>
      </x:c>
      <x:c r="F97" s="34" t="n">
        <x:v>17.19</x:v>
      </x:c>
      <x:c r="G97" s="34"/>
      <x:c r="H97" s="56" t="n">
        <x:f>IFERROR(G97/F97-1,"")</x:f>
        <x:v>-1</x:v>
      </x:c>
      <x:c r="I97" s="34"/>
      <x:c r="J97" s="34" t="n">
        <x:v>19.17</x:v>
      </x:c>
      <x:c r="K97" s="56" t="n">
        <x:f>IFERROR((J97/C97)^(1/3)-1,"")</x:f>
        <x:v>0.05468641861865331</x:v>
      </x:c>
      <x:c r="L97" t="str">
        <x:v>2023</x:v>
      </x:c>
      <x:c r="M97" s="30" t="str">
        <x:v>https://www.cnur.com/xueshu/2201.html</x:v>
      </x:c>
      <x:c r="N97" s="30" t="str"/>
    </x:row>
    <x:row r="98">
      <x:c r="A98" s="26" t="n">
        <x:v>93</x:v>
      </x:c>
      <x:c r="B98" s="26" t="str">
        <x:v>扬州大学</x:v>
      </x:c>
      <x:c r="C98" s="34"/>
      <x:c r="D98" s="34"/>
      <x:c r="E98" s="56" t="str">
        <x:f>IFERROR(D98/C98-1,"")</x:f>
      </x:c>
      <x:c r="F98" s="34"/>
      <x:c r="G98" s="34"/>
      <x:c r="H98" s="56" t="str">
        <x:f>IFERROR(G98/F98-1,"")</x:f>
      </x:c>
      <x:c r="I98" s="34"/>
      <x:c r="J98" s="34" t="n">
        <x:v>32.33</x:v>
      </x:c>
      <x:c r="K98" s="56" t="str">
        <x:f>IFERROR((J98/C98)^(1/3)-1,"")</x:f>
      </x:c>
      <x:c r="L98" t="str">
        <x:v>无历史汇总</x:v>
      </x:c>
      <x:c r="M98" s="30" t="str"/>
      <x:c r="N98" s="30" t="str"/>
    </x:row>
    <x:row r="99">
      <x:c r="A99" s="26" t="n">
        <x:v>95</x:v>
      </x:c>
      <x:c r="B99" s="26" t="str">
        <x:v>河南大学</x:v>
      </x:c>
      <x:c r="C99" s="34" t="n">
        <x:v>23.82</x:v>
      </x:c>
      <x:c r="D99" s="34" t="n">
        <x:v>49.19</x:v>
      </x:c>
      <x:c r="E99" s="56" t="n">
        <x:f>IFERROR(D99/C99-1,"")</x:f>
        <x:v>1.0650713685978168</x:v>
      </x:c>
      <x:c r="F99" s="34" t="n">
        <x:v>34.93</x:v>
      </x:c>
      <x:c r="G99" s="34" t="n">
        <x:v>57.15</x:v>
      </x:c>
      <x:c r="H99" s="56" t="n">
        <x:f>IFERROR(G99/F99-1,"")</x:f>
        <x:v>0.6361294016604637</x:v>
      </x:c>
      <x:c r="I99" s="34" t="n">
        <x:v>41.72</x:v>
      </x:c>
      <x:c r="J99" s="34" t="n">
        <x:v>41.47</x:v>
      </x:c>
      <x:c r="K99" s="56" t="n">
        <x:f>IFERROR((J99/C99)^(1/3)-1,"")</x:f>
        <x:v>0.2029957491482679</x:v>
      </x:c>
      <x:c r="L99" t="str">
        <x:v>2023/2024/2025</x:v>
      </x:c>
      <x:c r="M99" s="30" t="str">
        <x:v>https://www.cnur.com/xueshu/2201.html</x:v>
      </x:c>
      <x:c r="N99" s="30" t="str">
        <x:v>https://www.cnur.com/xueshu/3514.html</x:v>
      </x:c>
    </x:row>
    <x:row r="100">
      <x:c r="A100" s="26" t="n">
        <x:v>96</x:v>
      </x:c>
      <x:c r="B100" s="26" t="str">
        <x:v>广东工业大学</x:v>
      </x:c>
      <x:c r="C100" s="34"/>
      <x:c r="D100" s="34"/>
      <x:c r="E100" s="56" t="str">
        <x:f>IFERROR(D100/C100-1,"")</x:f>
      </x:c>
      <x:c r="F100" s="34"/>
      <x:c r="G100" s="34"/>
      <x:c r="H100" s="56" t="str">
        <x:f>IFERROR(G100/F100-1,"")</x:f>
      </x:c>
      <x:c r="I100" s="34"/>
      <x:c r="J100" s="34" t="n">
        <x:v>37.12</x:v>
      </x:c>
      <x:c r="K100" s="56" t="str">
        <x:f>IFERROR((J100/C100)^(1/3)-1,"")</x:f>
      </x:c>
      <x:c r="L100" t="str">
        <x:v>无历史汇总</x:v>
      </x:c>
      <x:c r="M100" s="30" t="str"/>
      <x:c r="N100" s="30" t="str"/>
    </x:row>
    <x:row r="101">
      <x:c r="A101" s="26" t="n">
        <x:v>97</x:v>
      </x:c>
      <x:c r="B101" s="26" t="str">
        <x:v>太原理工大学</x:v>
      </x:c>
      <x:c r="C101" s="34" t="n">
        <x:v>18.39</x:v>
      </x:c>
      <x:c r="D101" s="34" t="n">
        <x:v>40.18</x:v>
      </x:c>
      <x:c r="E101" s="56" t="n">
        <x:f>IFERROR(D101/C101-1,"")</x:f>
        <x:v>1.1848830886351278</x:v>
      </x:c>
      <x:c r="F101" s="34" t="n">
        <x:v>29.21</x:v>
      </x:c>
      <x:c r="G101" s="34" t="n">
        <x:v>48.32</x:v>
      </x:c>
      <x:c r="H101" s="56" t="n">
        <x:f>IFERROR(G101/F101-1,"")</x:f>
        <x:v>0.654228004108182</x:v>
      </x:c>
      <x:c r="I101" s="34" t="n">
        <x:v>31.48</x:v>
      </x:c>
      <x:c r="J101" s="34" t="n">
        <x:v>31.02</x:v>
      </x:c>
      <x:c r="K101" s="56" t="n">
        <x:f>IFERROR((J101/C101)^(1/3)-1,"")</x:f>
        <x:v>0.19038292337502782</x:v>
      </x:c>
      <x:c r="L101" t="str">
        <x:v>2023/2024/2025</x:v>
      </x:c>
      <x:c r="M101" s="30" t="str">
        <x:v>https://www.cnur.com/xueshu/2201.html</x:v>
      </x:c>
      <x:c r="N101" s="30" t="str">
        <x:v>https://www.cnur.com/xueshu/3514.html</x:v>
      </x:c>
    </x:row>
    <x:row r="102">
      <x:c r="A102" s="26" t="n">
        <x:v>98</x:v>
      </x:c>
      <x:c r="B102" s="26" t="str">
        <x:v>南京信息工程大学</x:v>
      </x:c>
      <x:c r="C102" s="34" t="n">
        <x:v>20.29</x:v>
      </x:c>
      <x:c r="D102" s="34" t="n">
        <x:v>22.19</x:v>
      </x:c>
      <x:c r="E102" s="56" t="n">
        <x:f>IFERROR(D102/C102-1,"")</x:f>
        <x:v>0.09364218827008397</x:v>
      </x:c>
      <x:c r="F102" s="34" t="n">
        <x:v>20.72</x:v>
      </x:c>
      <x:c r="G102" s="34"/>
      <x:c r="H102" s="56" t="n">
        <x:f>IFERROR(G102/F102-1,"")</x:f>
        <x:v>-1</x:v>
      </x:c>
      <x:c r="I102" s="34"/>
      <x:c r="J102" s="34" t="n">
        <x:v>20.9</x:v>
      </x:c>
      <x:c r="K102" s="56" t="n">
        <x:f>IFERROR((J102/C102)^(1/3)-1,"")</x:f>
        <x:v>0.009922573867635176</x:v>
      </x:c>
      <x:c r="L102" t="str">
        <x:v>2023</x:v>
      </x:c>
      <x:c r="M102" s="30" t="str">
        <x:v>https://www.cnur.com/xueshu/2201.html</x:v>
      </x:c>
      <x:c r="N102" s="30" t="str"/>
    </x:row>
    <x:row r="103">
      <x:c r="A103" s="26" t="n">
        <x:v>99</x:v>
      </x:c>
      <x:c r="B103" s="26" t="str">
        <x:v>杭州电子科技大学</x:v>
      </x:c>
      <x:c r="C103" s="34"/>
      <x:c r="D103" s="34"/>
      <x:c r="E103" s="56" t="str">
        <x:f>IFERROR(D103/C103-1,"")</x:f>
      </x:c>
      <x:c r="F103" s="34"/>
      <x:c r="G103" s="34"/>
      <x:c r="H103" s="56" t="str">
        <x:f>IFERROR(G103/F103-1,"")</x:f>
      </x:c>
      <x:c r="I103" s="34"/>
      <x:c r="J103" s="34" t="n">
        <x:v>25.05</x:v>
      </x:c>
      <x:c r="K103" s="56" t="str">
        <x:f>IFERROR((J103/C103)^(1/3)-1,"")</x:f>
      </x:c>
      <x:c r="L103" t="str">
        <x:v>无历史汇总</x:v>
      </x:c>
      <x:c r="M103" s="30" t="str"/>
      <x:c r="N103" s="30" t="str"/>
    </x:row>
    <x:row r="104">
      <x:c r="A104" s="26" t="n">
        <x:v>100</x:v>
      </x:c>
      <x:c r="B104" s="26" t="str">
        <x:v>首都师范大学</x:v>
      </x:c>
      <x:c r="C104" s="34" t="n">
        <x:v>22.74</x:v>
      </x:c>
      <x:c r="D104" s="34" t="n">
        <x:v>22.37</x:v>
      </x:c>
      <x:c r="E104" s="56" t="n">
        <x:f>IFERROR(D104/C104-1,"")</x:f>
        <x:v>-0.016270888302550413</x:v>
      </x:c>
      <x:c r="F104" s="34" t="n">
        <x:v>23.16</x:v>
      </x:c>
      <x:c r="G104" s="34" t="n">
        <x:v>30.78</x:v>
      </x:c>
      <x:c r="H104" s="56" t="n">
        <x:f>IFERROR(G104/F104-1,"")</x:f>
        <x:v>0.32901554404145084</x:v>
      </x:c>
      <x:c r="I104" s="34" t="n">
        <x:v>29.71</x:v>
      </x:c>
      <x:c r="J104" s="34" t="n">
        <x:v>42.16</x:v>
      </x:c>
      <x:c r="K104" s="56" t="n">
        <x:f>IFERROR((J104/C104)^(1/3)-1,"")</x:f>
        <x:v>0.22848553530577442</x:v>
      </x:c>
      <x:c r="L104" t="str">
        <x:v>2023/2024/2025</x:v>
      </x:c>
      <x:c r="M104" s="30" t="str">
        <x:v>https://www.cnur.com/xueshu/2201.html</x:v>
      </x:c>
      <x:c r="N104" s="30" t="str">
        <x:v>https://www.cnur.com/xueshu/3514.html</x:v>
      </x:c>
    </x:row>
  </x:sheetData>
  <x:mergeCells>
    <x:mergeCell ref="A1:N1"/>
    <x:mergeCell ref="A2:N2"/>
  </x:mergeCells>
  <x:conditionalFormatting sqref="E5:E104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H5:H104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K5:K104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14" hidden="0" customWidth="1"/>
    <x:col min="4" max="4" width="14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7" hidden="0" customWidth="1"/>
    <x:col min="11" max="11" width="14" hidden="0" customWidth="1"/>
    <x:col min="12" max="12" width="16" hidden="0" customWidth="1"/>
    <x:col min="13" max="13" width="17" hidden="0" customWidth="1"/>
    <x:col min="14" max="14" width="16" hidden="0" customWidth="1"/>
    <x:col min="15" max="15" width="38" hidden="0" customWidth="1"/>
    <x:col min="16" max="16" width="48" hidden="0" customWidth="1"/>
  </x:cols>
  <x:sheetData>
    <x:row r="1" ht="24" customHeight="1">
      <x:c r="A1" s="5" t="str">
        <x:v>官方预算表：收入来源详细拆分（精选案例）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>
      <x:c r="A2" s="11" t="str">
        <x:v>单位：亿元；各校报表年份不同，按最新/可核验的公开预算表展示。事业收入通常同时包含科研事业收入与教育收费，不能直接把“事业收入”全部视为学费。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</x:row>
    <x:row r="4">
      <x:c r="A4" s="19" t="str">
        <x:v>学校</x:v>
      </x:c>
      <x:c r="B4" s="19" t="str">
        <x:v>年份</x:v>
      </x:c>
      <x:c r="C4" s="19" t="str">
        <x:v>收支总预算</x:v>
      </x:c>
      <x:c r="D4" s="19" t="str">
        <x:v>本年收入</x:v>
      </x:c>
      <x:c r="E4" s="19" t="str">
        <x:v>一般公共预算</x:v>
      </x:c>
      <x:c r="F4" s="19" t="str">
        <x:v>政府性基金</x:v>
      </x:c>
      <x:c r="G4" s="19" t="str">
        <x:v>事业收入</x:v>
      </x:c>
      <x:c r="H4" s="19" t="str">
        <x:v>其中教育收费</x:v>
      </x:c>
      <x:c r="I4" s="19" t="str">
        <x:v>其他收入</x:v>
      </x:c>
      <x:c r="J4" s="19" t="str">
        <x:v>使用非财政拨款结余</x:v>
      </x:c>
      <x:c r="K4" s="19" t="str">
        <x:v>上年结转</x:v>
      </x:c>
      <x:c r="L4" s="19" t="str">
        <x:v>财政拨款占本年收入</x:v>
      </x:c>
      <x:c r="M4" s="19" t="str">
        <x:v>事业收入占本年收入</x:v>
      </x:c>
      <x:c r="N4" s="19" t="str">
        <x:v>其他收入占本年收入</x:v>
      </x:c>
      <x:c r="O4" s="19" t="str">
        <x:v>合并/口径说明</x:v>
      </x:c>
      <x:c r="P4" s="19" t="str">
        <x:v>官方来源URL</x:v>
      </x:c>
    </x:row>
    <x:row r="5">
      <x:c r="A5" s="26" t="str">
        <x:v>清华大学</x:v>
      </x:c>
      <x:c r="B5" s="26" t="n">
        <x:v>2026</x:v>
      </x:c>
      <x:c r="C5" s="34" t="n">
        <x:v>403.927363</x:v>
      </x:c>
      <x:c r="D5" s="34" t="n">
        <x:v>297.593714</x:v>
      </x:c>
      <x:c r="E5" s="34" t="n">
        <x:v>53.007561</x:v>
      </x:c>
      <x:c r="F5" s="34" t="n">
        <x:v>6.1067</x:v>
      </x:c>
      <x:c r="G5" s="34" t="n">
        <x:v>166.613561</x:v>
      </x:c>
      <x:c r="H5" s="34" t="n">
        <x:v>29.927967</x:v>
      </x:c>
      <x:c r="I5" s="34" t="n">
        <x:v>71.865892</x:v>
      </x:c>
      <x:c r="J5" s="34" t="n">
        <x:v>0.033398</x:v>
      </x:c>
      <x:c r="K5" s="34" t="n">
        <x:v>106.300251</x:v>
      </x:c>
      <x:c r="L5" s="56" t="n">
        <x:f>IFERROR((E5+F5)/D5,"")</x:f>
        <x:v>0.19864082545775816</x:v>
      </x:c>
      <x:c r="M5" s="56" t="n">
        <x:f>IFERROR(G5/D5,"")</x:f>
        <x:v>0.5598692215656141</x:v>
      </x:c>
      <x:c r="N5" s="56" t="n">
        <x:f>IFERROR(I5/D5,"")</x:f>
        <x:v>0.24148995297662776</x:v>
      </x:c>
      <x:c r="O5" s="58" t="str">
        <x:v>部门预算含清华本级、附中、附小、两所附属医院、幼儿园；不含深圳国际研究生院面积口径等非财务事项。</x:v>
      </x:c>
      <x:c r="P5" s="30" t="str">
        <x:v>https://www.tsinghua.edu.cn/__local/B/DA/82/5C6F131EE6AB26E752548AD706D_9E6258EF_9DAAD.pdf</x:v>
      </x:c>
    </x:row>
    <x:row r="6">
      <x:c r="A6" s="26" t="str">
        <x:v>上海交通大学</x:v>
      </x:c>
      <x:c r="B6" s="26" t="n">
        <x:v>2026</x:v>
      </x:c>
      <x:c r="C6" s="34" t="n">
        <x:v>304.114821</x:v>
      </x:c>
      <x:c r="D6" s="34" t="n">
        <x:v>216.850226</x:v>
      </x:c>
      <x:c r="E6" s="34" t="n">
        <x:v>38.623126</x:v>
      </x:c>
      <x:c r="F6" s="34" t="n">
        <x:v>5.6561</x:v>
      </x:c>
      <x:c r="G6" s="34" t="n">
        <x:v>129.33</x:v>
      </x:c>
      <x:c r="H6" s="34" t="n">
        <x:v>24.38</x:v>
      </x:c>
      <x:c r="I6" s="34" t="n">
        <x:v>43.241</x:v>
      </x:c>
      <x:c r="J6" s="34" t="n">
        <x:v>12.058102</x:v>
      </x:c>
      <x:c r="K6" s="34" t="n">
        <x:v>75.206493</x:v>
      </x:c>
      <x:c r="L6" s="56" t="n">
        <x:f>IFERROR((E6+F6)/D6,"")</x:f>
        <x:v>0.20419266706228845</x:v>
      </x:c>
      <x:c r="M6" s="56" t="n">
        <x:f>IFERROR(G6/D6,"")</x:f>
        <x:v>0.5964024220108491</x:v>
      </x:c>
      <x:c r="N6" s="56" t="n">
        <x:f>IFERROR(I6/D6,"")</x:f>
        <x:v>0.1994049109268625</x:v>
      </x:c>
      <x:c r="O6" s="58" t="str">
        <x:v>教育部直属高校部门预算；事业收入主要为科研事业收入及学费/住宿费等。</x:v>
      </x:c>
      <x:c r="P6" s="30" t="str">
        <x:v>https://gk.sjtu.edu.cn/Assets/userfiles/sys_eb538c1c-65ff-4e82-8e6a-a1ef01127fed/files/20260423/20260423134912384.pdf</x:v>
      </x:c>
    </x:row>
    <x:row r="7">
      <x:c r="A7" s="26" t="str">
        <x:v>北京理工大学</x:v>
      </x:c>
      <x:c r="B7" s="26" t="n">
        <x:v>2026</x:v>
      </x:c>
      <x:c r="C7" s="34" t="n">
        <x:v>179.109841</x:v>
      </x:c>
      <x:c r="D7" s="34" t="n">
        <x:v>116.087827</x:v>
      </x:c>
      <x:c r="E7" s="34" t="n">
        <x:v>29.359246</x:v>
      </x:c>
      <x:c r="F7" s="34" t="n">
        <x:v>3.4665</x:v>
      </x:c>
      <x:c r="G7" s="34" t="n">
        <x:v>64.712946</x:v>
      </x:c>
      <x:c r="H7" s="34" t="n">
        <x:v>7.8</x:v>
      </x:c>
      <x:c r="I7" s="34" t="n">
        <x:v>18.549135</x:v>
      </x:c>
      <x:c r="J7" s="34" t="n">
        <x:v>3.521623</x:v>
      </x:c>
      <x:c r="K7" s="34" t="n">
        <x:v>59.500391</x:v>
      </x:c>
      <x:c r="L7" s="56" t="n">
        <x:f>IFERROR((E7+F7)/D7,"")</x:f>
        <x:v>0.2827664781769065</x:v>
      </x:c>
      <x:c r="M7" s="56" t="n">
        <x:f>IFERROR(G7/D7,"")</x:f>
        <x:v>0.5574481637941247</x:v>
      </x:c>
      <x:c r="N7" s="56" t="n">
        <x:f>IFERROR(I7/D7,"")</x:f>
        <x:v>0.15978535802896887</x:v>
      </x:c>
      <x:c r="O7" s="58" t="str">
        <x:v>2026部门预算；财政拨款收入含一般公共预算与政府性基金预算。</x:v>
      </x:c>
      <x:c r="P7" s="30" t="str">
        <x:v>https://xxgk.bit.edu.cn/docs/2026-04/122c058af442403a836ae073ac2af456.pdf</x:v>
      </x:c>
    </x:row>
    <x:row r="8">
      <x:c r="A8" s="26" t="str">
        <x:v>北京大学</x:v>
      </x:c>
      <x:c r="B8" s="26" t="n">
        <x:v>2025</x:v>
      </x:c>
      <x:c r="C8" s="34" t="n">
        <x:v>259.135837</x:v>
      </x:c>
      <x:c r="D8" s="34" t="n">
        <x:v>172.61957</x:v>
      </x:c>
      <x:c r="E8" s="34" t="n">
        <x:v>57.418208</x:v>
      </x:c>
      <x:c r="F8" s="34"/>
      <x:c r="G8" s="34" t="n">
        <x:v>84.40899</x:v>
      </x:c>
      <x:c r="H8" s="34" t="n">
        <x:v>31.10899</x:v>
      </x:c>
      <x:c r="I8" s="34" t="n">
        <x:v>30.792372</x:v>
      </x:c>
      <x:c r="J8" s="34" t="n">
        <x:v>14.28</x:v>
      </x:c>
      <x:c r="K8" s="34" t="n">
        <x:v>72.236267</x:v>
      </x:c>
      <x:c r="L8" s="56" t="n">
        <x:f>IFERROR((E8+F8)/D8,"")</x:f>
        <x:v>0.33262861215562056</x:v>
      </x:c>
      <x:c r="M8" s="56" t="n">
        <x:f>IFERROR(G8/D8,"")</x:f>
        <x:v>0.48898853125401714</x:v>
      </x:c>
      <x:c r="N8" s="56" t="n">
        <x:f>IFERROR(I8/D8,"")</x:f>
        <x:v>0.17838285659036227</x:v>
      </x:c>
      <x:c r="O8" s="58" t="str">
        <x:v>该公开PDF中的报表为2025年部门预算；不含北大直属六家医院预算，教育基金会单独公开。</x:v>
      </x:c>
      <x:c r="P8" s="30" t="str">
        <x:v>https://xxgk.pku.edu.cn/docs/2026-06/d26e126751e14387b337d3e06164e302.pdf</x:v>
      </x:c>
    </x:row>
    <x:row r="9">
      <x:c r="A9" s="26" t="str">
        <x:v>哈尔滨工业大学</x:v>
      </x:c>
      <x:c r="B9" s="26" t="n">
        <x:v>2024</x:v>
      </x:c>
      <x:c r="C9" s="34" t="n">
        <x:v>194.634487</x:v>
      </x:c>
      <x:c r="D9" s="34" t="n">
        <x:v>118.28014</x:v>
      </x:c>
      <x:c r="E9" s="34" t="n">
        <x:v>29.880906</x:v>
      </x:c>
      <x:c r="F9" s="34" t="n">
        <x:v>0</x:v>
      </x:c>
      <x:c r="G9" s="34" t="n">
        <x:v>63.449006</x:v>
      </x:c>
      <x:c r="H9" s="34" t="n">
        <x:v>10.3</x:v>
      </x:c>
      <x:c r="I9" s="34" t="n">
        <x:v>24.950228</x:v>
      </x:c>
      <x:c r="J9" s="34" t="n">
        <x:v>2.902413</x:v>
      </x:c>
      <x:c r="K9" s="34" t="n">
        <x:v>73.451934</x:v>
      </x:c>
      <x:c r="L9" s="56" t="n">
        <x:f>IFERROR((E9+F9)/D9,"")</x:f>
        <x:v>0.2526282603317852</x:v>
      </x:c>
      <x:c r="M9" s="56" t="n">
        <x:f>IFERROR(G9/D9,"")</x:f>
        <x:v>0.5364299196805143</x:v>
      </x:c>
      <x:c r="N9" s="56" t="n">
        <x:f>IFERROR(I9/D9,"")</x:f>
        <x:v>0.21094181998770037</x:v>
      </x:c>
      <x:c r="O9" s="58" t="str">
        <x:v>2024教育部直属高校部门预算。</x:v>
      </x:c>
      <x:c r="P9" s="30" t="str">
        <x:v>https://xxgk.hit.edu.cn/_upload/article/files/38/17/5b2bfa74467188815c00caf7b156/ed79d374-3a83-4f1e-bfa3-b2c8279cc455.pdf</x:v>
      </x:c>
    </x:row>
    <x:row r="10">
      <x:c r="O10" s="58"/>
    </x:row>
    <x:row r="11">
      <x:c r="O11" s="58"/>
    </x:row>
    <x:row r="12">
      <x:c r="O12" s="58"/>
    </x:row>
    <x:row r="13">
      <x:c r="O13" s="58"/>
    </x:row>
    <x:row r="14">
      <x:c r="O14" s="58"/>
    </x:row>
    <x:row r="15">
      <x:c r="O15" s="58"/>
    </x:row>
    <x:row r="16">
      <x:c r="O16" s="58"/>
    </x:row>
    <x:row r="17">
      <x:c r="O17" s="58"/>
    </x:row>
    <x:row r="18">
      <x:c r="O18" s="58"/>
    </x:row>
    <x:row r="19">
      <x:c r="O19" s="58"/>
    </x:row>
    <x:row r="20">
      <x:c r="O20" s="58"/>
    </x:row>
  </x:sheetData>
  <x:mergeCells>
    <x:mergeCell ref="A1:P1"/>
    <x:mergeCell ref="A2:P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13" hidden="0" customWidth="1"/>
    <x:col min="4" max="4" width="13" hidden="0" customWidth="1"/>
    <x:col min="5" max="5" width="13" hidden="0" customWidth="1"/>
    <x:col min="6" max="6" width="14" hidden="0" customWidth="1"/>
    <x:col min="7" max="7" width="14" hidden="0" customWidth="1"/>
    <x:col min="8" max="8" width="13" hidden="0" customWidth="1"/>
    <x:col min="9" max="9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3" hidden="0" customWidth="1"/>
    <x:col min="14" max="14" width="13" hidden="0" customWidth="1"/>
    <x:col min="15" max="15" width="48" hidden="0" customWidth="1"/>
    <x:col min="16" max="16" width="34" hidden="0" customWidth="1"/>
  </x:cols>
  <x:sheetData>
    <x:row r="1" ht="24" customHeight="1">
      <x:c r="A1" s="5" t="str">
        <x:v>官方预算表：支出结构详细拆分（精选案例）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>
      <x:c r="A2" s="11" t="str">
        <x:v>功能科目“教育支出/科学技术支出”不是大学内部成本中心口径；大量科研活动可能计入教育支出。因此它适合财政功能分类分析，不适合直接等同于“真实教学/科研成本占比”。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</x:row>
    <x:row r="4">
      <x:c r="A4" s="19" t="str">
        <x:v>学校</x:v>
      </x:c>
      <x:c r="B4" s="19" t="str">
        <x:v>年份</x:v>
      </x:c>
      <x:c r="C4" s="19" t="str">
        <x:v>本年支出</x:v>
      </x:c>
      <x:c r="D4" s="19" t="str">
        <x:v>基本支出</x:v>
      </x:c>
      <x:c r="E4" s="19" t="str">
        <x:v>项目支出</x:v>
      </x:c>
      <x:c r="F4" s="19" t="str">
        <x:v>基本支出占比</x:v>
      </x:c>
      <x:c r="G4" s="19" t="str">
        <x:v>项目支出占比</x:v>
      </x:c>
      <x:c r="H4" s="19" t="str">
        <x:v>教育支出</x:v>
      </x:c>
      <x:c r="I4" s="19" t="str">
        <x:v>科学技术支出</x:v>
      </x:c>
      <x:c r="J4" s="19" t="str">
        <x:v>社保就业</x:v>
      </x:c>
      <x:c r="K4" s="19" t="str">
        <x:v>卫生健康</x:v>
      </x:c>
      <x:c r="L4" s="19" t="str">
        <x:v>住房保障</x:v>
      </x:c>
      <x:c r="M4" s="19" t="str">
        <x:v>其他功能支出</x:v>
      </x:c>
      <x:c r="N4" s="19" t="str">
        <x:v>结转下年</x:v>
      </x:c>
      <x:c r="O4" s="19" t="str">
        <x:v>官方来源URL</x:v>
      </x:c>
      <x:c r="P4" s="19" t="str">
        <x:v>备注</x:v>
      </x:c>
    </x:row>
    <x:row r="5">
      <x:c r="A5" s="26" t="str">
        <x:v>清华大学</x:v>
      </x:c>
      <x:c r="B5" s="26" t="n">
        <x:v>2026</x:v>
      </x:c>
      <x:c r="C5" s="34" t="n">
        <x:v>332.195391</x:v>
      </x:c>
      <x:c r="D5" s="34" t="n">
        <x:v>153.92086</x:v>
      </x:c>
      <x:c r="E5" s="34" t="n">
        <x:v>178.274531</x:v>
      </x:c>
      <x:c r="F5" s="56" t="n">
        <x:f>IFERROR(D5/C5,"")</x:f>
        <x:v>0.46334435747785563</x:v>
      </x:c>
      <x:c r="G5" s="56" t="n">
        <x:f>IFERROR(E5/C5,"")</x:f>
        <x:v>0.5366556425221445</x:v>
      </x:c>
      <x:c r="H5" s="34" t="n">
        <x:v>290.343943</x:v>
      </x:c>
      <x:c r="I5" s="34" t="n">
        <x:v>7.274568</x:v>
      </x:c>
      <x:c r="J5" s="34" t="n">
        <x:v>4.812539</x:v>
      </x:c>
      <x:c r="K5" s="34" t="n">
        <x:v>22.7425</x:v>
      </x:c>
      <x:c r="L5" s="34" t="n">
        <x:v>5.689564</x:v>
      </x:c>
      <x:c r="M5" s="34" t="n">
        <x:v>1.332277</x:v>
      </x:c>
      <x:c r="N5" s="34" t="n">
        <x:v>71.731972</x:v>
      </x:c>
      <x:c r="O5" s="30" t="str">
        <x:v>https://www.tsinghua.edu.cn/__local/B/DA/82/5C6F131EE6AB26E752548AD706D_9E6258EF_9DAAD.pdf</x:v>
      </x:c>
      <x:c r="P5" t="str">
        <x:v>功能分类与管理会计成本中心不可直接等同</x:v>
      </x:c>
    </x:row>
    <x:row r="6">
      <x:c r="A6" s="26" t="str">
        <x:v>上海交通大学</x:v>
      </x:c>
      <x:c r="B6" s="26" t="n">
        <x:v>2026</x:v>
      </x:c>
      <x:c r="C6" s="34" t="n">
        <x:v>239.194821</x:v>
      </x:c>
      <x:c r="D6" s="34" t="n">
        <x:v>125.22</x:v>
      </x:c>
      <x:c r="E6" s="34" t="n">
        <x:v>113.974821</x:v>
      </x:c>
      <x:c r="F6" s="56" t="n">
        <x:f>IFERROR(D6/C6,"")</x:f>
        <x:v>0.5235063178897172</x:v>
      </x:c>
      <x:c r="G6" s="56" t="n">
        <x:f>IFERROR(E6/C6,"")</x:f>
        <x:v>0.47649368211028287</x:v>
      </x:c>
      <x:c r="H6" s="34" t="n">
        <x:v>225.231627</x:v>
      </x:c>
      <x:c r="I6" s="34" t="n">
        <x:v>3.016238</x:v>
      </x:c>
      <x:c r="J6" s="34" t="n">
        <x:v>6.64</x:v>
      </x:c>
      <x:c r="K6" s="34" t="n">
        <x:v>0</x:v>
      </x:c>
      <x:c r="L6" s="34" t="n">
        <x:v>4.306956</x:v>
      </x:c>
      <x:c r="M6" s="34" t="n">
        <x:v>0</x:v>
      </x:c>
      <x:c r="N6" s="34" t="n">
        <x:v>64.92</x:v>
      </x:c>
      <x:c r="O6" s="30" t="str">
        <x:v>https://gk.sjtu.edu.cn/Assets/userfiles/sys_eb538c1c-65ff-4e82-8e6a-a1ef01127fed/files/20260423/20260423134912384.pdf</x:v>
      </x:c>
      <x:c r="P6" t="str">
        <x:v>功能分类与管理会计成本中心不可直接等同</x:v>
      </x:c>
    </x:row>
    <x:row r="7">
      <x:c r="A7" s="26" t="str">
        <x:v>北京理工大学</x:v>
      </x:c>
      <x:c r="B7" s="26" t="n">
        <x:v>2026</x:v>
      </x:c>
      <x:c r="C7" s="34" t="n">
        <x:v>123.099023</x:v>
      </x:c>
      <x:c r="D7" s="34" t="n">
        <x:v>30.331656</x:v>
      </x:c>
      <x:c r="E7" s="34" t="n">
        <x:v>92.767367</x:v>
      </x:c>
      <x:c r="F7" s="56" t="n">
        <x:f>IFERROR(D7/C7,"")</x:f>
        <x:v>0.2464004608712451</x:v>
      </x:c>
      <x:c r="G7" s="56" t="n">
        <x:f>IFERROR(E7/C7,"")</x:f>
        <x:v>0.7535995391287549</x:v>
      </x:c>
      <x:c r="H7" s="34" t="n">
        <x:v>54.108432</x:v>
      </x:c>
      <x:c r="I7" s="34" t="n">
        <x:v>65.880176</x:v>
      </x:c>
      <x:c r="J7" s="34" t="n">
        <x:v>1.481655</x:v>
      </x:c>
      <x:c r="K7" s="34" t="n">
        <x:v>0</x:v>
      </x:c>
      <x:c r="L7" s="34" t="n">
        <x:v>1.411688</x:v>
      </x:c>
      <x:c r="M7" s="34" t="n">
        <x:v>0.217072</x:v>
      </x:c>
      <x:c r="N7" s="34" t="n">
        <x:v>56.010818</x:v>
      </x:c>
      <x:c r="O7" s="30" t="str">
        <x:v>https://xxgk.bit.edu.cn/docs/2026-04/122c058af442403a836ae073ac2af456.pdf</x:v>
      </x:c>
      <x:c r="P7" t="str">
        <x:v>功能分类与管理会计成本中心不可直接等同</x:v>
      </x:c>
    </x:row>
    <x:row r="8">
      <x:c r="A8" s="26" t="str">
        <x:v>北京大学</x:v>
      </x:c>
      <x:c r="B8" s="26" t="n">
        <x:v>2025</x:v>
      </x:c>
      <x:c r="C8" s="34" t="n">
        <x:v>191.379638</x:v>
      </x:c>
      <x:c r="D8" s="34" t="n">
        <x:v>92.68833</x:v>
      </x:c>
      <x:c r="E8" s="34" t="n">
        <x:v>98.691308</x:v>
      </x:c>
      <x:c r="F8" s="56" t="n">
        <x:f>IFERROR(D8/C8,"")</x:f>
        <x:v>0.484316570815125</x:v>
      </x:c>
      <x:c r="G8" s="56" t="n">
        <x:f>IFERROR(E8/C8,"")</x:f>
        <x:v>0.515683429184875</x:v>
      </x:c>
      <x:c r="H8" s="34" t="n">
        <x:v>177.928971</x:v>
      </x:c>
      <x:c r="I8" s="34" t="n">
        <x:v>3.898989</x:v>
      </x:c>
      <x:c r="J8" s="34" t="n">
        <x:v>4.107321</x:v>
      </x:c>
      <x:c r="K8" s="34" t="n">
        <x:v>0</x:v>
      </x:c>
      <x:c r="L8" s="34" t="n">
        <x:v>5.363046</x:v>
      </x:c>
      <x:c r="M8" s="34" t="n">
        <x:v>0.081311</x:v>
      </x:c>
      <x:c r="N8" s="34" t="n">
        <x:v>67.756199</x:v>
      </x:c>
      <x:c r="O8" s="30" t="str">
        <x:v>https://xxgk.pku.edu.cn/docs/2026-06/d26e126751e14387b337d3e06164e302.pdf</x:v>
      </x:c>
      <x:c r="P8" t="str">
        <x:v>功能分类与管理会计成本中心不可直接等同</x:v>
      </x:c>
    </x:row>
    <x:row r="9">
      <x:c r="A9" s="26" t="str">
        <x:v>哈尔滨工业大学</x:v>
      </x:c>
      <x:c r="B9" s="26" t="n">
        <x:v>2024</x:v>
      </x:c>
      <x:c r="C9" s="34" t="n">
        <x:v>121.950614</x:v>
      </x:c>
      <x:c r="D9" s="34" t="n">
        <x:v>44.915318</x:v>
      </x:c>
      <x:c r="E9" s="34" t="n">
        <x:v>77.035296</x:v>
      </x:c>
      <x:c r="F9" s="56" t="n">
        <x:f>IFERROR(D9/C9,"")</x:f>
        <x:v>0.3683074363200828</x:v>
      </x:c>
      <x:c r="G9" s="56" t="n">
        <x:f>IFERROR(E9/C9,"")</x:f>
        <x:v>0.6316925636799172</x:v>
      </x:c>
      <x:c r="H9" s="34" t="n">
        <x:v>65.569259</x:v>
      </x:c>
      <x:c r="I9" s="34" t="n">
        <x:v>52.135968</x:v>
      </x:c>
      <x:c r="J9" s="34" t="n">
        <x:v>2.199422</x:v>
      </x:c>
      <x:c r="K9" s="34" t="n">
        <x:v>0</x:v>
      </x:c>
      <x:c r="L9" s="34" t="n">
        <x:v>1.835896</x:v>
      </x:c>
      <x:c r="M9" s="34" t="n">
        <x:v>0.210069</x:v>
      </x:c>
      <x:c r="N9" s="34" t="n">
        <x:v>72.683873</x:v>
      </x:c>
      <x:c r="O9" s="30" t="str">
        <x:v>https://xxgk.hit.edu.cn/_upload/article/files/38/17/5b2bfa74467188815c00caf7b156/ed79d374-3a83-4f1e-bfa3-b2c8279cc455.pdf</x:v>
      </x:c>
      <x:c r="P9" t="str">
        <x:v>功能分类与管理会计成本中心不可直接等同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14" hidden="0" customWidth="1"/>
    <x:col min="4" max="4" width="14" hidden="0" customWidth="1"/>
    <x:col min="5" max="5" width="15" hidden="0" customWidth="1"/>
    <x:col min="6" max="6" width="18" hidden="0" customWidth="1"/>
    <x:col min="7" max="7" width="14" hidden="0" customWidth="1"/>
    <x:col min="8" max="8" width="14" hidden="0" customWidth="1"/>
    <x:col min="9" max="9" width="13" hidden="0" customWidth="1"/>
    <x:col min="10" max="10" width="15" hidden="0" customWidth="1"/>
    <x:col min="11" max="11" width="48" hidden="0" customWidth="1"/>
  </x:cols>
  <x:sheetData>
    <x:row r="1" ht="24" customHeight="1">
      <x:c r="A1" s="5" t="str">
        <x:v>盈余、结转与“看似亏损”的正确读法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1" t="str">
        <x:v>这里不把“本年收入-本年支出”称为利润。高校可使用以前年度非财政拨款结余、上年项目结转，并将未完项目继续结转下年。恒等关系通常为：本年收入 + 使用结余 + 上年结转 = 本年支出 + 结转下年。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4">
      <x:c r="A4" s="19" t="str">
        <x:v>学校</x:v>
      </x:c>
      <x:c r="B4" s="19" t="str">
        <x:v>年份</x:v>
      </x:c>
      <x:c r="C4" s="19" t="str">
        <x:v>本年收入</x:v>
      </x:c>
      <x:c r="D4" s="19" t="str">
        <x:v>本年支出</x:v>
      </x:c>
      <x:c r="E4" s="19" t="str">
        <x:v>本年收支差额</x:v>
      </x:c>
      <x:c r="F4" s="19" t="str">
        <x:v>使用非财政拨款结余</x:v>
      </x:c>
      <x:c r="G4" s="19" t="str">
        <x:v>上年结转</x:v>
      </x:c>
      <x:c r="H4" s="19" t="str">
        <x:v>结转下年</x:v>
      </x:c>
      <x:c r="I4" s="19" t="str">
        <x:v>平衡校验</x:v>
      </x:c>
      <x:c r="J4" s="19" t="str">
        <x:v>差额/本年收入</x:v>
      </x:c>
      <x:c r="K4" s="19" t="str">
        <x:v>来源URL</x:v>
      </x:c>
    </x:row>
    <x:row r="5">
      <x:c r="A5" s="26" t="str">
        <x:v>清华大学</x:v>
      </x:c>
      <x:c r="B5" s="26" t="n">
        <x:v>2026</x:v>
      </x:c>
      <x:c r="C5" s="34" t="n">
        <x:v>297.593714</x:v>
      </x:c>
      <x:c r="D5" s="34" t="n">
        <x:v>332.195391</x:v>
      </x:c>
      <x:c r="E5" s="60" t="n">
        <x:f>C5-D5</x:f>
        <x:v>-34.601676999999995</x:v>
      </x:c>
      <x:c r="F5" s="34" t="n">
        <x:v>0.033398</x:v>
      </x:c>
      <x:c r="G5" s="34" t="n">
        <x:v>106.300251</x:v>
      </x:c>
      <x:c r="H5" s="34" t="n">
        <x:v>71.731972</x:v>
      </x:c>
      <x:c r="I5" s="60" t="n">
        <x:f>C5+F5+G5-D5-H5</x:f>
        <x:v>-1.4210854715202004e-14</x:v>
      </x:c>
      <x:c r="J5" s="56" t="n">
        <x:f>IFERROR(E5/C5,"")</x:f>
        <x:v>-0.11627153186441296</x:v>
      </x:c>
      <x:c r="K5" s="30" t="str">
        <x:v>https://www.tsinghua.edu.cn/__local/B/DA/82/5C6F131EE6AB26E752548AD706D_9E6258EF_9DAAD.pdf</x:v>
      </x:c>
    </x:row>
    <x:row r="6">
      <x:c r="A6" s="26" t="str">
        <x:v>上海交通大学</x:v>
      </x:c>
      <x:c r="B6" s="26" t="n">
        <x:v>2026</x:v>
      </x:c>
      <x:c r="C6" s="34" t="n">
        <x:v>216.850226</x:v>
      </x:c>
      <x:c r="D6" s="34" t="n">
        <x:v>239.194821</x:v>
      </x:c>
      <x:c r="E6" s="60" t="n">
        <x:f>C6-D6</x:f>
        <x:v>-22.344594999999998</x:v>
      </x:c>
      <x:c r="F6" s="34" t="n">
        <x:v>12.058102</x:v>
      </x:c>
      <x:c r="G6" s="34" t="n">
        <x:v>75.206493</x:v>
      </x:c>
      <x:c r="H6" s="34" t="n">
        <x:v>64.92</x:v>
      </x:c>
      <x:c r="I6" s="60" t="n">
        <x:f>C6+F6+G6-D6-H6</x:f>
        <x:v>1.4210854715202004e-14</x:v>
      </x:c>
      <x:c r="J6" s="56" t="n">
        <x:f>IFERROR(E6/C6,"")</x:f>
        <x:v>-0.1030416034705908</x:v>
      </x:c>
      <x:c r="K6" s="30" t="str">
        <x:v>https://gk.sjtu.edu.cn/Assets/userfiles/sys_eb538c1c-65ff-4e82-8e6a-a1ef01127fed/files/20260423/20260423134912384.pdf</x:v>
      </x:c>
    </x:row>
    <x:row r="7">
      <x:c r="A7" s="26" t="str">
        <x:v>北京理工大学</x:v>
      </x:c>
      <x:c r="B7" s="26" t="n">
        <x:v>2026</x:v>
      </x:c>
      <x:c r="C7" s="34" t="n">
        <x:v>116.087827</x:v>
      </x:c>
      <x:c r="D7" s="34" t="n">
        <x:v>123.099023</x:v>
      </x:c>
      <x:c r="E7" s="60" t="n">
        <x:f>C7-D7</x:f>
        <x:v>-7.011195999999998</x:v>
      </x:c>
      <x:c r="F7" s="34" t="n">
        <x:v>3.521623</x:v>
      </x:c>
      <x:c r="G7" s="34" t="n">
        <x:v>59.500391</x:v>
      </x:c>
      <x:c r="H7" s="34" t="n">
        <x:v>56.010818</x:v>
      </x:c>
      <x:c r="I7" s="60" t="n">
        <x:f>C7+F7+G7-D7-H7</x:f>
        <x:v>1.4210854715202004e-14</x:v>
      </x:c>
      <x:c r="J7" s="56" t="n">
        <x:f>IFERROR(E7/C7,"")</x:f>
        <x:v>-0.06039561753533381</x:v>
      </x:c>
      <x:c r="K7" s="30" t="str">
        <x:v>https://xxgk.bit.edu.cn/docs/2026-04/122c058af442403a836ae073ac2af456.pdf</x:v>
      </x:c>
    </x:row>
    <x:row r="8">
      <x:c r="A8" s="26" t="str">
        <x:v>北京大学</x:v>
      </x:c>
      <x:c r="B8" s="26" t="n">
        <x:v>2025</x:v>
      </x:c>
      <x:c r="C8" s="34" t="n">
        <x:v>172.61957</x:v>
      </x:c>
      <x:c r="D8" s="34" t="n">
        <x:v>191.379638</x:v>
      </x:c>
      <x:c r="E8" s="60" t="n">
        <x:f>C8-D8</x:f>
        <x:v>-18.76006799999999</x:v>
      </x:c>
      <x:c r="F8" s="34" t="n">
        <x:v>14.28</x:v>
      </x:c>
      <x:c r="G8" s="34" t="n">
        <x:v>72.236267</x:v>
      </x:c>
      <x:c r="H8" s="34" t="n">
        <x:v>67.756199</x:v>
      </x:c>
      <x:c r="I8" s="60" t="n">
        <x:f>C8+F8+G8-D8-H8</x:f>
        <x:v>4.263256414560601e-14</x:v>
      </x:c>
      <x:c r="J8" s="56" t="n">
        <x:f>IFERROR(E8/C8,"")</x:f>
        <x:v>-0.1086786857365013</x:v>
      </x:c>
      <x:c r="K8" s="30" t="str">
        <x:v>https://xxgk.pku.edu.cn/docs/2026-06/d26e126751e14387b337d3e06164e302.pdf</x:v>
      </x:c>
    </x:row>
    <x:row r="9">
      <x:c r="A9" s="26" t="str">
        <x:v>哈尔滨工业大学</x:v>
      </x:c>
      <x:c r="B9" s="26" t="n">
        <x:v>2024</x:v>
      </x:c>
      <x:c r="C9" s="34" t="n">
        <x:v>118.28014</x:v>
      </x:c>
      <x:c r="D9" s="34" t="n">
        <x:v>121.950614</x:v>
      </x:c>
      <x:c r="E9" s="60" t="n">
        <x:f>C9-D9</x:f>
        <x:v>-3.6704739999999987</x:v>
      </x:c>
      <x:c r="F9" s="34" t="n">
        <x:v>2.902413</x:v>
      </x:c>
      <x:c r="G9" s="34" t="n">
        <x:v>73.451934</x:v>
      </x:c>
      <x:c r="H9" s="34" t="n">
        <x:v>72.683873</x:v>
      </x:c>
      <x:c r="I9" s="60" t="n">
        <x:f>C9+F9+G9-D9-H9</x:f>
        <x:v>-2.842170943040401e-14</x:v>
      </x:c>
      <x:c r="J9" s="56" t="n">
        <x:f>IFERROR(E9/C9,"")</x:f>
        <x:v>-0.031032039698295915</x:v>
      </x:c>
      <x:c r="K9" s="30" t="str">
        <x:v>https://xxgk.hit.edu.cn/_upload/article/files/38/17/5b2bfa74467188815c00caf7b156/ed79d374-3a83-4f1e-bfa3-b2c8279cc455.pdf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18" hidden="0" customWidth="1"/>
    <x:col min="4" max="4" width="16" hidden="0" customWidth="1"/>
    <x:col min="5" max="5" width="16" hidden="0" customWidth="1"/>
    <x:col min="6" max="6" width="22" hidden="0" customWidth="1"/>
    <x:col min="7" max="7" width="34" hidden="0" customWidth="1"/>
  </x:cols>
  <x:sheetData>
    <x:row r="1" ht="24" customHeight="1">
      <x:c r="A1" s="5" t="str">
        <x:v>Top100高校地域资金分布</x:v>
      </x:c>
      <x:c r="B1" s="5"/>
      <x:c r="C1" s="5"/>
      <x:c r="D1" s="5"/>
      <x:c r="E1" s="5"/>
      <x:c r="F1" s="5"/>
      <x:c r="G1" s="5"/>
    </x:row>
    <x:row r="3">
      <x:c r="A3" s="19" t="str">
        <x:v>省份</x:v>
      </x:c>
      <x:c r="B3" s="19" t="str">
        <x:v>Top100学校数</x:v>
      </x:c>
      <x:c r="C3" s="19" t="str">
        <x:v>2026预算合计(亿元)</x:v>
      </x:c>
      <x:c r="D3" s="19" t="str">
        <x:v>平均预算(亿元)</x:v>
      </x:c>
      <x:c r="E3" s="19" t="str">
        <x:v>占Top100总预算</x:v>
      </x:c>
      <x:c r="F3" s="19" t="str">
        <x:v>最高预算学校</x:v>
      </x:c>
      <x:c r="G3" s="19" t="str">
        <x:v>备注</x:v>
      </x:c>
    </x:row>
    <x:row r="4">
      <x:c r="A4" s="26" t="str">
        <x:v>上海</x:v>
      </x:c>
      <x:c r="B4" s="28" t="n">
        <x:f>COUNTIF(Top100_2026!$D$5:$D$104,A4)</x:f>
        <x:v>8</x:v>
      </x:c>
      <x:c r="C4" s="60" t="n">
        <x:f>SUMIF(Top100_2026!$D$5:$D$104,A4,Top100_2026!$F$5:$F$104)</x:f>
        <x:v>940.6899999999999</x:v>
      </x:c>
      <x:c r="D4" s="60" t="n">
        <x:f>IFERROR(C4/B4,"")</x:f>
        <x:v>117.58624999999999</x:v>
      </x:c>
      <x:c r="E4" s="56" t="n">
        <x:f>IFERROR(C4/SUM(Top100_2026!$F$5:$F$104),"")</x:f>
        <x:v>0.10191072451961043</x:v>
      </x:c>
      <x:c r="F4" s="26" t="str">
        <x:v>上海交通大学</x:v>
      </x:c>
      <x:c r="G4" s="26" t="str">
        <x:v>地域统计按学校主校区/公开预算所属省份</x:v>
      </x:c>
    </x:row>
    <x:row r="5">
      <x:c r="A5" s="26" t="str">
        <x:v>云南</x:v>
      </x:c>
      <x:c r="B5" s="28" t="n">
        <x:f>COUNTIF(Top100_2026!$D$5:$D$104,A5)</x:f>
        <x:v>1</x:v>
      </x:c>
      <x:c r="C5" s="60" t="n">
        <x:f>SUMIF(Top100_2026!$D$5:$D$104,A5,Top100_2026!$F$5:$F$104)</x:f>
        <x:v>29.81</x:v>
      </x:c>
      <x:c r="D5" s="60" t="n">
        <x:f>IFERROR(C5/B5,"")</x:f>
        <x:v>29.81</x:v>
      </x:c>
      <x:c r="E5" s="56" t="n">
        <x:f>IFERROR(C5/SUM(Top100_2026!$F$5:$F$104),"")</x:f>
        <x:v>0.0032295003645511134</x:v>
      </x:c>
      <x:c r="F5" s="26" t="str">
        <x:v>云南大学</x:v>
      </x:c>
      <x:c r="G5" s="26" t="str">
        <x:v>地域统计按学校主校区/公开预算所属省份</x:v>
      </x:c>
    </x:row>
    <x:row r="6">
      <x:c r="A6" s="26" t="str">
        <x:v>北京</x:v>
      </x:c>
      <x:c r="B6" s="28" t="n">
        <x:f>COUNTIF(Top100_2026!$D$5:$D$104,A6)</x:f>
        <x:v>18</x:v>
      </x:c>
      <x:c r="C6" s="60" t="n">
        <x:f>SUMIF(Top100_2026!$D$5:$D$104,A6,Top100_2026!$F$5:$F$104)</x:f>
        <x:v>2173.17</x:v>
      </x:c>
      <x:c r="D6" s="60" t="n">
        <x:f>IFERROR(C6/B6,"")</x:f>
        <x:v>120.73166666666667</x:v>
      </x:c>
      <x:c r="E6" s="56" t="n">
        <x:f>IFERROR(C6/SUM(Top100_2026!$F$5:$F$104),"")</x:f>
        <x:v>0.23543285163473815</x:v>
      </x:c>
      <x:c r="F6" s="26" t="str">
        <x:v>清华大学</x:v>
      </x:c>
      <x:c r="G6" s="26" t="str">
        <x:v>地域统计按学校主校区/公开预算所属省份</x:v>
      </x:c>
    </x:row>
    <x:row r="7">
      <x:c r="A7" s="26" t="str">
        <x:v>吉林</x:v>
      </x:c>
      <x:c r="B7" s="28" t="n">
        <x:f>COUNTIF(Top100_2026!$D$5:$D$104,A7)</x:f>
        <x:v>2</x:v>
      </x:c>
      <x:c r="C7" s="60" t="n">
        <x:f>SUMIF(Top100_2026!$D$5:$D$104,A7,Top100_2026!$F$5:$F$104)</x:f>
        <x:v>148.01999999999998</x:v>
      </x:c>
      <x:c r="D7" s="60" t="n">
        <x:f>IFERROR(C7/B7,"")</x:f>
        <x:v>74.00999999999999</x:v>
      </x:c>
      <x:c r="E7" s="56" t="n">
        <x:f>IFERROR(C7/SUM(Top100_2026!$F$5:$F$104),"")</x:f>
        <x:v>0.016035915597479227</x:v>
      </x:c>
      <x:c r="F7" s="26" t="str">
        <x:v>吉林大学</x:v>
      </x:c>
      <x:c r="G7" s="26" t="str">
        <x:v>地域统计按学校主校区/公开预算所属省份</x:v>
      </x:c>
    </x:row>
    <x:row r="8">
      <x:c r="A8" s="26" t="str">
        <x:v>四川</x:v>
      </x:c>
      <x:c r="B8" s="28" t="n">
        <x:f>COUNTIF(Top100_2026!$D$5:$D$104,A8)</x:f>
        <x:v>3</x:v>
      </x:c>
      <x:c r="C8" s="60" t="n">
        <x:f>SUMIF(Top100_2026!$D$5:$D$104,A8,Top100_2026!$F$5:$F$104)</x:f>
        <x:v>321.14</x:v>
      </x:c>
      <x:c r="D8" s="60" t="n">
        <x:f>IFERROR(C8/B8,"")</x:f>
        <x:v>107.04666666666667</x:v>
      </x:c>
      <x:c r="E8" s="56" t="n">
        <x:f>IFERROR(C8/SUM(Top100_2026!$F$5:$F$104),"")</x:f>
        <x:v>0.03479106833518768</x:v>
      </x:c>
      <x:c r="F8" s="26" t="str">
        <x:v>四川大学</x:v>
      </x:c>
      <x:c r="G8" s="26" t="str">
        <x:v>地域统计按学校主校区/公开预算所属省份</x:v>
      </x:c>
    </x:row>
    <x:row r="9">
      <x:c r="A9" s="26" t="str">
        <x:v>天津</x:v>
      </x:c>
      <x:c r="B9" s="28" t="n">
        <x:f>COUNTIF(Top100_2026!$D$5:$D$104,A9)</x:f>
        <x:v>2</x:v>
      </x:c>
      <x:c r="C9" s="60" t="n">
        <x:f>SUMIF(Top100_2026!$D$5:$D$104,A9,Top100_2026!$F$5:$F$104)</x:f>
        <x:v>188.87</x:v>
      </x:c>
      <x:c r="D9" s="60" t="n">
        <x:f>IFERROR(C9/B9,"")</x:f>
        <x:v>94.435</x:v>
      </x:c>
      <x:c r="E9" s="56" t="n">
        <x:f>IFERROR(C9/SUM(Top100_2026!$F$5:$F$104),"")</x:f>
        <x:v>0.02046144695916702</x:v>
      </x:c>
      <x:c r="F9" s="26" t="str">
        <x:v>天津大学</x:v>
      </x:c>
      <x:c r="G9" s="26" t="str">
        <x:v>地域统计按学校主校区/公开预算所属省份</x:v>
      </x:c>
    </x:row>
    <x:row r="10">
      <x:c r="A10" s="26" t="str">
        <x:v>安徽</x:v>
      </x:c>
      <x:c r="B10" s="28" t="n">
        <x:f>COUNTIF(Top100_2026!$D$5:$D$104,A10)</x:f>
        <x:v>2</x:v>
      </x:c>
      <x:c r="C10" s="60" t="n">
        <x:f>SUMIF(Top100_2026!$D$5:$D$104,A10,Top100_2026!$F$5:$F$104)</x:f>
        <x:v>210.92</x:v>
      </x:c>
      <x:c r="D10" s="60" t="n">
        <x:f>IFERROR(C10/B10,"")</x:f>
        <x:v>105.46</x:v>
      </x:c>
      <x:c r="E10" s="56" t="n">
        <x:f>IFERROR(C10/SUM(Top100_2026!$F$5:$F$104),"")</x:f>
        <x:v>0.02285025886920902</x:v>
      </x:c>
      <x:c r="F10" s="26" t="str">
        <x:v>中国科学技术大学</x:v>
      </x:c>
      <x:c r="G10" s="26" t="str">
        <x:v>地域统计按学校主校区/公开预算所属省份</x:v>
      </x:c>
    </x:row>
    <x:row r="11">
      <x:c r="A11" s="26" t="str">
        <x:v>山东</x:v>
      </x:c>
      <x:c r="B11" s="28" t="n">
        <x:f>COUNTIF(Top100_2026!$D$5:$D$104,A11)</x:f>
        <x:v>3</x:v>
      </x:c>
      <x:c r="C11" s="60" t="n">
        <x:f>SUMIF(Top100_2026!$D$5:$D$104,A11,Top100_2026!$F$5:$F$104)</x:f>
        <x:v>280.14</x:v>
      </x:c>
      <x:c r="D11" s="60" t="n">
        <x:f>IFERROR(C11/B11,"")</x:f>
        <x:v>93.38</x:v>
      </x:c>
      <x:c r="E11" s="56" t="n">
        <x:f>IFERROR(C11/SUM(Top100_2026!$F$5:$F$104),"")</x:f>
        <x:v>0.03034928655234314</x:v>
      </x:c>
      <x:c r="F11" s="26" t="str">
        <x:v>山东大学</x:v>
      </x:c>
      <x:c r="G11" s="26" t="str">
        <x:v>地域统计按学校主校区/公开预算所属省份</x:v>
      </x:c>
    </x:row>
    <x:row r="12">
      <x:c r="A12" s="26" t="str">
        <x:v>山西</x:v>
      </x:c>
      <x:c r="B12" s="28" t="n">
        <x:f>COUNTIF(Top100_2026!$D$5:$D$104,A12)</x:f>
        <x:v>1</x:v>
      </x:c>
      <x:c r="C12" s="60" t="n">
        <x:f>SUMIF(Top100_2026!$D$5:$D$104,A12,Top100_2026!$F$5:$F$104)</x:f>
        <x:v>31.02</x:v>
      </x:c>
      <x:c r="D12" s="60" t="n">
        <x:f>IFERROR(C12/B12,"")</x:f>
        <x:v>31.02</x:v>
      </x:c>
      <x:c r="E12" s="56" t="n">
        <x:f>IFERROR(C12/SUM(Top100_2026!$F$5:$F$104),"")</x:f>
        <x:v>0.0033605870952155502</x:v>
      </x:c>
      <x:c r="F12" s="26" t="str">
        <x:v>太原理工大学</x:v>
      </x:c>
      <x:c r="G12" s="26" t="str">
        <x:v>地域统计按学校主校区/公开预算所属省份</x:v>
      </x:c>
    </x:row>
    <x:row r="13">
      <x:c r="A13" s="26" t="str">
        <x:v>广东</x:v>
      </x:c>
      <x:c r="B13" s="28" t="n">
        <x:f>COUNTIF(Top100_2026!$D$5:$D$104,A13)</x:f>
        <x:v>7</x:v>
      </x:c>
      <x:c r="C13" s="60" t="n">
        <x:f>SUMIF(Top100_2026!$D$5:$D$104,A13,Top100_2026!$F$5:$F$104)</x:f>
        <x:v>611.2599999999999</x:v>
      </x:c>
      <x:c r="D13" s="60" t="n">
        <x:f>IFERROR(C13/B13,"")</x:f>
        <x:v>87.32285714285713</x:v>
      </x:c>
      <x:c r="E13" s="56" t="n">
        <x:f>IFERROR(C13/SUM(Top100_2026!$F$5:$F$104),"")</x:f>
        <x:v>0.06622154957515979</x:v>
      </x:c>
      <x:c r="F13" s="26" t="str">
        <x:v>中山大学</x:v>
      </x:c>
      <x:c r="G13" s="26" t="str">
        <x:v>地域统计按学校主校区/公开预算所属省份</x:v>
      </x:c>
    </x:row>
    <x:row r="14">
      <x:c r="A14" s="26" t="str">
        <x:v>广西</x:v>
      </x:c>
      <x:c r="B14" s="28" t="n">
        <x:f>COUNTIF(Top100_2026!$D$5:$D$104,A14)</x:f>
        <x:v>1</x:v>
      </x:c>
      <x:c r="C14" s="60" t="n">
        <x:f>SUMIF(Top100_2026!$D$5:$D$104,A14,Top100_2026!$F$5:$F$104)</x:f>
        <x:v>32.28</x:v>
      </x:c>
      <x:c r="D14" s="60" t="n">
        <x:f>IFERROR(C14/B14,"")</x:f>
        <x:v>32.28</x:v>
      </x:c>
      <x:c r="E14" s="56" t="n">
        <x:f>IFERROR(C14/SUM(Top100_2026!$F$5:$F$104),"")</x:f>
        <x:v>0.003497090632932236</x:v>
      </x:c>
      <x:c r="F14" s="26" t="str">
        <x:v>广西大学</x:v>
      </x:c>
      <x:c r="G14" s="26" t="str">
        <x:v>地域统计按学校主校区/公开预算所属省份</x:v>
      </x:c>
    </x:row>
    <x:row r="15">
      <x:c r="A15" s="26" t="str">
        <x:v>江苏</x:v>
      </x:c>
      <x:c r="B15" s="28" t="n">
        <x:f>COUNTIF(Top100_2026!$D$5:$D$104,A15)</x:f>
        <x:v>16</x:v>
      </x:c>
      <x:c r="C15" s="60" t="n">
        <x:f>SUMIF(Top100_2026!$D$5:$D$104,A15,Top100_2026!$F$5:$F$104)</x:f>
        <x:v>1006.22</x:v>
      </x:c>
      <x:c r="D15" s="60" t="n">
        <x:f>IFERROR(C15/B15,"")</x:f>
        <x:v>62.88875</x:v>
      </x:c>
      <x:c r="E15" s="56" t="n">
        <x:f>IFERROR(C15/SUM(Top100_2026!$F$5:$F$104),"")</x:f>
        <x:v>0.10900999184228856</x:v>
      </x:c>
      <x:c r="F15" s="26" t="str">
        <x:v>东南大学</x:v>
      </x:c>
      <x:c r="G15" s="26" t="str">
        <x:v>地域统计按学校主校区/公开预算所属省份</x:v>
      </x:c>
    </x:row>
    <x:row r="16">
      <x:c r="A16" s="26" t="str">
        <x:v>江西</x:v>
      </x:c>
      <x:c r="B16" s="28" t="n">
        <x:f>COUNTIF(Top100_2026!$D$5:$D$104,A16)</x:f>
        <x:v>1</x:v>
      </x:c>
      <x:c r="C16" s="60" t="n">
        <x:f>SUMIF(Top100_2026!$D$5:$D$104,A16,Top100_2026!$F$5:$F$104)</x:f>
        <x:v>55.5</x:v>
      </x:c>
      <x:c r="D16" s="60" t="n">
        <x:f>IFERROR(C16/B16,"")</x:f>
        <x:v>55.5</x:v>
      </x:c>
      <x:c r="E16" s="56" t="n">
        <x:f>IFERROR(C16/SUM(Top100_2026!$F$5:$F$104),"")</x:f>
        <x:v>0.006012655827996874</x:v>
      </x:c>
      <x:c r="F16" s="26" t="str">
        <x:v>南昌大学</x:v>
      </x:c>
      <x:c r="G16" s="26" t="str">
        <x:v>地域统计按学校主校区/公开预算所属省份</x:v>
      </x:c>
    </x:row>
    <x:row r="17">
      <x:c r="A17" s="26" t="str">
        <x:v>河南</x:v>
      </x:c>
      <x:c r="B17" s="28" t="n">
        <x:f>COUNTIF(Top100_2026!$D$5:$D$104,A17)</x:f>
        <x:v>2</x:v>
      </x:c>
      <x:c r="C17" s="60" t="n">
        <x:f>SUMIF(Top100_2026!$D$5:$D$104,A17,Top100_2026!$F$5:$F$104)</x:f>
        <x:v>98.67</x:v>
      </x:c>
      <x:c r="D17" s="60" t="n">
        <x:f>IFERROR(C17/B17,"")</x:f>
        <x:v>49.335</x:v>
      </x:c>
      <x:c r="E17" s="56" t="n">
        <x:f>IFERROR(C17/SUM(Top100_2026!$F$5:$F$104),"")</x:f>
        <x:v>0.010689527036909037</x:v>
      </x:c>
      <x:c r="F17" s="26" t="str">
        <x:v>郑州大学</x:v>
      </x:c>
      <x:c r="G17" s="26" t="str">
        <x:v>地域统计按学校主校区/公开预算所属省份</x:v>
      </x:c>
    </x:row>
    <x:row r="18">
      <x:c r="A18" s="26" t="str">
        <x:v>浙江</x:v>
      </x:c>
      <x:c r="B18" s="28" t="n">
        <x:f>COUNTIF(Top100_2026!$D$5:$D$104,A18)</x:f>
        <x:v>5</x:v>
      </x:c>
      <x:c r="C18" s="60" t="n">
        <x:f>SUMIF(Top100_2026!$D$5:$D$104,A18,Top100_2026!$F$5:$F$104)</x:f>
        <x:v>510.61</x:v>
      </x:c>
      <x:c r="D18" s="60" t="n">
        <x:f>IFERROR(C18/B18,"")</x:f>
        <x:v>102.122</x:v>
      </x:c>
      <x:c r="E18" s="56" t="n">
        <x:f>IFERROR(C18/SUM(Top100_2026!$F$5:$F$104),"")</x:f>
        <x:v>0.05531751697898169</x:v>
      </x:c>
      <x:c r="F18" s="26" t="str">
        <x:v>浙江大学</x:v>
      </x:c>
      <x:c r="G18" s="26" t="str">
        <x:v>地域统计按学校主校区/公开预算所属省份</x:v>
      </x:c>
    </x:row>
    <x:row r="19">
      <x:c r="A19" s="26" t="str">
        <x:v>海南</x:v>
      </x:c>
      <x:c r="B19" s="28" t="n">
        <x:f>COUNTIF(Top100_2026!$D$5:$D$104,A19)</x:f>
        <x:v>1</x:v>
      </x:c>
      <x:c r="C19" s="60" t="n">
        <x:f>SUMIF(Top100_2026!$D$5:$D$104,A19,Top100_2026!$F$5:$F$104)</x:f>
        <x:v>55.54</x:v>
      </x:c>
      <x:c r="D19" s="60" t="n">
        <x:f>IFERROR(C19/B19,"")</x:f>
        <x:v>55.54</x:v>
      </x:c>
      <x:c r="E19" s="56" t="n">
        <x:f>IFERROR(C19/SUM(Top100_2026!$F$5:$F$104),"")</x:f>
        <x:v>0.006016989273638674</x:v>
      </x:c>
      <x:c r="F19" s="26" t="str">
        <x:v>海南大学</x:v>
      </x:c>
      <x:c r="G19" s="26" t="str">
        <x:v>地域统计按学校主校区/公开预算所属省份</x:v>
      </x:c>
    </x:row>
    <x:row r="20">
      <x:c r="A20" s="26" t="str">
        <x:v>湖北</x:v>
      </x:c>
      <x:c r="B20" s="28" t="n">
        <x:f>COUNTIF(Top100_2026!$D$5:$D$104,A20)</x:f>
        <x:v>6</x:v>
      </x:c>
      <x:c r="C20" s="60" t="n">
        <x:f>SUMIF(Top100_2026!$D$5:$D$104,A20,Top100_2026!$F$5:$F$104)</x:f>
        <x:v>557.96</x:v>
      </x:c>
      <x:c r="D20" s="60" t="n">
        <x:f>IFERROR(C20/B20,"")</x:f>
        <x:v>92.99333333333334</x:v>
      </x:c>
      <x:c r="E20" s="56" t="n">
        <x:f>IFERROR(C20/SUM(Top100_2026!$F$5:$F$104),"")</x:f>
        <x:v>0.06044723325746191</x:v>
      </x:c>
      <x:c r="F20" s="26" t="str">
        <x:v>华中科技大学</x:v>
      </x:c>
      <x:c r="G20" s="26" t="str">
        <x:v>地域统计按学校主校区/公开预算所属省份</x:v>
      </x:c>
    </x:row>
    <x:row r="21">
      <x:c r="A21" s="26" t="str">
        <x:v>湖南</x:v>
      </x:c>
      <x:c r="B21" s="28" t="n">
        <x:f>COUNTIF(Top100_2026!$D$5:$D$104,A21)</x:f>
        <x:v>3</x:v>
      </x:c>
      <x:c r="C21" s="60" t="n">
        <x:f>SUMIF(Top100_2026!$D$5:$D$104,A21,Top100_2026!$F$5:$F$104)</x:f>
        <x:v>256.5</x:v>
      </x:c>
      <x:c r="D21" s="60" t="n">
        <x:f>IFERROR(C21/B21,"")</x:f>
        <x:v>85.5</x:v>
      </x:c>
      <x:c r="E21" s="56" t="n">
        <x:f>IFERROR(C21/SUM(Top100_2026!$F$5:$F$104),"")</x:f>
        <x:v>0.027788220178039606</x:v>
      </x:c>
      <x:c r="F21" s="26" t="str">
        <x:v>中南大学</x:v>
      </x:c>
      <x:c r="G21" s="26" t="str">
        <x:v>地域统计按学校主校区/公开预算所属省份</x:v>
      </x:c>
    </x:row>
    <x:row r="22">
      <x:c r="A22" s="26" t="str">
        <x:v>甘肃</x:v>
      </x:c>
      <x:c r="B22" s="28" t="n">
        <x:f>COUNTIF(Top100_2026!$D$5:$D$104,A22)</x:f>
        <x:v>1</x:v>
      </x:c>
      <x:c r="C22" s="60" t="n">
        <x:f>SUMIF(Top100_2026!$D$5:$D$104,A22,Top100_2026!$F$5:$F$104)</x:f>
        <x:v>81.45</x:v>
      </x:c>
      <x:c r="D22" s="60" t="n">
        <x:f>IFERROR(C22/B22,"")</x:f>
        <x:v>81.45</x:v>
      </x:c>
      <x:c r="E22" s="56" t="n">
        <x:f>IFERROR(C22/SUM(Top100_2026!$F$5:$F$104),"")</x:f>
        <x:v>0.00882397868811433</x:v>
      </x:c>
      <x:c r="F22" s="26" t="str">
        <x:v>兰州大学</x:v>
      </x:c>
      <x:c r="G22" s="26" t="str">
        <x:v>地域统计按学校主校区/公开预算所属省份</x:v>
      </x:c>
    </x:row>
    <x:row r="23">
      <x:c r="A23" s="26" t="str">
        <x:v>福建</x:v>
      </x:c>
      <x:c r="B23" s="28" t="n">
        <x:f>COUNTIF(Top100_2026!$D$5:$D$104,A23)</x:f>
        <x:v>3</x:v>
      </x:c>
      <x:c r="C23" s="60" t="n">
        <x:f>SUMIF(Top100_2026!$D$5:$D$104,A23,Top100_2026!$F$5:$F$104)</x:f>
        <x:v>199.66</x:v>
      </x:c>
      <x:c r="D23" s="60" t="n">
        <x:f>IFERROR(C23/B23,"")</x:f>
        <x:v>66.55333333333333</x:v>
      </x:c>
      <x:c r="E23" s="56" t="n">
        <x:f>IFERROR(C23/SUM(Top100_2026!$F$5:$F$104),"")</x:f>
        <x:v>0.02163039392104245</x:v>
      </x:c>
      <x:c r="F23" s="26" t="str">
        <x:v>厦门大学</x:v>
      </x:c>
      <x:c r="G23" s="26" t="str">
        <x:v>地域统计按学校主校区/公开预算所属省份</x:v>
      </x:c>
    </x:row>
    <x:row r="24">
      <x:c r="A24" s="26" t="str">
        <x:v>贵州</x:v>
      </x:c>
      <x:c r="B24" s="28" t="n">
        <x:f>COUNTIF(Top100_2026!$D$5:$D$104,A24)</x:f>
        <x:v>1</x:v>
      </x:c>
      <x:c r="C24" s="60" t="n">
        <x:f>SUMIF(Top100_2026!$D$5:$D$104,A24,Top100_2026!$F$5:$F$104)</x:f>
        <x:v>45.87</x:v>
      </x:c>
      <x:c r="D24" s="60" t="n">
        <x:f>IFERROR(C24/B24,"")</x:f>
        <x:v>45.87</x:v>
      </x:c>
      <x:c r="E24" s="56" t="n">
        <x:f>IFERROR(C24/SUM(Top100_2026!$F$5:$F$104),"")</x:f>
        <x:v>0.004969378789733633</x:v>
      </x:c>
      <x:c r="F24" s="26" t="str">
        <x:v>贵州大学</x:v>
      </x:c>
      <x:c r="G24" s="26" t="str">
        <x:v>地域统计按学校主校区/公开预算所属省份</x:v>
      </x:c>
    </x:row>
    <x:row r="25">
      <x:c r="A25" s="26" t="str">
        <x:v>辽宁</x:v>
      </x:c>
      <x:c r="B25" s="28" t="n">
        <x:f>COUNTIF(Top100_2026!$D$5:$D$104,A25)</x:f>
        <x:v>2</x:v>
      </x:c>
      <x:c r="C25" s="60" t="n">
        <x:f>SUMIF(Top100_2026!$D$5:$D$104,A25,Top100_2026!$F$5:$F$104)</x:f>
        <x:v>205.89</x:v>
      </x:c>
      <x:c r="D25" s="60" t="n">
        <x:f>IFERROR(C25/B25,"")</x:f>
        <x:v>102.945</x:v>
      </x:c>
      <x:c r="E25" s="56" t="n">
        <x:f>IFERROR(C25/SUM(Top100_2026!$F$5:$F$104),"")</x:f>
        <x:v>0.022305328079752725</x:v>
      </x:c>
      <x:c r="F25" s="26" t="str">
        <x:v>大连理工大学</x:v>
      </x:c>
      <x:c r="G25" s="26" t="str">
        <x:v>地域统计按学校主校区/公开预算所属省份</x:v>
      </x:c>
    </x:row>
    <x:row r="26">
      <x:c r="A26" s="26" t="str">
        <x:v>重庆</x:v>
      </x:c>
      <x:c r="B26" s="28" t="n">
        <x:f>COUNTIF(Top100_2026!$D$5:$D$104,A26)</x:f>
        <x:v>2</x:v>
      </x:c>
      <x:c r="C26" s="60" t="n">
        <x:f>SUMIF(Top100_2026!$D$5:$D$104,A26,Top100_2026!$F$5:$F$104)</x:f>
        <x:v>180.23</x:v>
      </x:c>
      <x:c r="D26" s="60" t="n">
        <x:f>IFERROR(C26/B26,"")</x:f>
        <x:v>90.115</x:v>
      </x:c>
      <x:c r="E26" s="56" t="n">
        <x:f>IFERROR(C26/SUM(Top100_2026!$F$5:$F$104),"")</x:f>
        <x:v>0.019525422700538315</x:v>
      </x:c>
      <x:c r="F26" s="26" t="str">
        <x:v>重庆大学</x:v>
      </x:c>
      <x:c r="G26" s="26" t="str">
        <x:v>地域统计按学校主校区/公开预算所属省份</x:v>
      </x:c>
    </x:row>
    <x:row r="27">
      <x:c r="A27" s="26" t="str">
        <x:v>陕西</x:v>
      </x:c>
      <x:c r="B27" s="28" t="n">
        <x:f>COUNTIF(Top100_2026!$D$5:$D$104,A27)</x:f>
        <x:v>7</x:v>
      </x:c>
      <x:c r="C27" s="60" t="n">
        <x:f>SUMIF(Top100_2026!$D$5:$D$104,A27,Top100_2026!$F$5:$F$104)</x:f>
        <x:v>648.73</x:v>
      </x:c>
      <x:c r="D27" s="60" t="n">
        <x:f>IFERROR(C27/B27,"")</x:f>
        <x:v>92.67571428571429</x:v>
      </x:c>
      <x:c r="E27" s="56" t="n">
        <x:f>IFERROR(C27/SUM(Top100_2026!$F$5:$F$104),"")</x:f>
        <x:v>0.07028090478011553</x:v>
      </x:c>
      <x:c r="F27" s="26" t="str">
        <x:v>西安交通大学</x:v>
      </x:c>
      <x:c r="G27" s="26" t="str">
        <x:v>地域统计按学校主校区/公开预算所属省份</x:v>
      </x:c>
    </x:row>
    <x:row r="28">
      <x:c r="A28" s="26" t="str">
        <x:v>黑龙江</x:v>
      </x:c>
      <x:c r="B28" s="28" t="n">
        <x:f>COUNTIF(Top100_2026!$D$5:$D$104,A28)</x:f>
        <x:v>2</x:v>
      </x:c>
      <x:c r="C28" s="60" t="n">
        <x:f>SUMIF(Top100_2026!$D$5:$D$104,A28,Top100_2026!$F$5:$F$104)</x:f>
        <x:v>360.38</x:v>
      </x:c>
      <x:c r="D28" s="60" t="n">
        <x:f>IFERROR(C28/B28,"")</x:f>
        <x:v>180.19</x:v>
      </x:c>
      <x:c r="E28" s="56" t="n">
        <x:f>IFERROR(C28/SUM(Top100_2026!$F$5:$F$104),"")</x:f>
        <x:v>0.03904217850979304</x:v>
      </x:c>
      <x:c r="F28" s="26" t="str">
        <x:v>哈尔滨工业大学</x:v>
      </x:c>
      <x:c r="G28" s="26" t="str">
        <x:v>地域统计按学校主校区/公开预算所属省份</x:v>
      </x:c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8" hidden="0" customWidth="1"/>
    <x:col min="3" max="3" width="38" hidden="0" customWidth="1"/>
    <x:col min="4" max="4" width="48" hidden="0" customWidth="1"/>
  </x:cols>
  <x:sheetData>
    <x:row r="1" ht="24" customHeight="1">
      <x:c r="A1" s="5" t="str">
        <x:v>中国高校财务数据口径词典</x:v>
      </x:c>
      <x:c r="B1" s="5"/>
      <x:c r="C1" s="5"/>
      <x:c r="D1" s="5"/>
    </x:row>
    <x:row r="3">
      <x:c r="A3" s="19" t="str">
        <x:v>指标</x:v>
      </x:c>
      <x:c r="B3" s="19" t="str">
        <x:v>定义/用途</x:v>
      </x:c>
      <x:c r="C3" s="19" t="str">
        <x:v>常见误读</x:v>
      </x:c>
      <x:c r="D3" s="19" t="str">
        <x:v>本报告处理原则</x:v>
      </x:c>
    </x:row>
    <x:row r="4">
      <x:c r="A4" s="58" t="str">
        <x:v>收支总预算</x:v>
      </x:c>
      <x:c r="B4" s="58" t="str">
        <x:v>本年收入 + 使用非财政拨款结余 + 上年结转；与本年支出 + 结转下年平衡</x:v>
      </x:c>
      <x:c r="C4" s="58" t="str">
        <x:v>直接当成“当年收入”</x:v>
      </x:c>
      <x:c r="D4" s="58" t="str">
        <x:v>只用于衡量年度可支配预算盘子，另列本年收入</x:v>
      </x:c>
    </x:row>
    <x:row r="5">
      <x:c r="A5" s="58" t="str">
        <x:v>本年收入</x:v>
      </x:c>
      <x:c r="B5" s="58" t="str">
        <x:v>当年新取得的财政拨款、事业收入、其他收入等</x:v>
      </x:c>
      <x:c r="C5" s="58" t="str">
        <x:v>等同企业营业收入</x:v>
      </x:c>
      <x:c r="D5" s="58" t="str">
        <x:v>作为分析当年资金来源的核心分母</x:v>
      </x:c>
    </x:row>
    <x:row r="6">
      <x:c r="A6" s="58" t="str">
        <x:v>财政拨款收入</x:v>
      </x:c>
      <x:c r="B6" s="58" t="str">
        <x:v>中央/地方财政当年拨付；部分学校还含政府性基金预算</x:v>
      </x:c>
      <x:c r="C6" s="58" t="str">
        <x:v>把占比低理解为“政府支持少”</x:v>
      </x:c>
      <x:c r="D6" s="58" t="str">
        <x:v>需结合上年结转、专项资金、地方支持等判断</x:v>
      </x:c>
    </x:row>
    <x:row r="7">
      <x:c r="A7" s="58" t="str">
        <x:v>事业收入</x:v>
      </x:c>
      <x:c r="B7" s="58" t="str">
        <x:v>高校开展教学、科研及辅助活动取得的收入</x:v>
      </x:c>
      <x:c r="C7" s="58" t="str">
        <x:v>全部当作学费</x:v>
      </x:c>
      <x:c r="D7" s="58" t="str">
        <x:v>尽量单列教育收费；其余往往含科研事业收入</x:v>
      </x:c>
    </x:row>
    <x:row r="8">
      <x:c r="A8" s="58" t="str">
        <x:v>其他收入</x:v>
      </x:c>
      <x:c r="B8" s="58" t="str">
        <x:v>除财政拨款、事业收入等以外的收入</x:v>
      </x:c>
      <x:c r="C8" s="58" t="str">
        <x:v>一律视为捐赠</x:v>
      </x:c>
      <x:c r="D8" s="58" t="str">
        <x:v>可能含捐赠、利息等，按学校名词解释判断</x:v>
      </x:c>
    </x:row>
    <x:row r="9">
      <x:c r="A9" s="58" t="str">
        <x:v>使用非财政拨款结余</x:v>
      </x:c>
      <x:c r="B9" s="58" t="str">
        <x:v>以前年度积累的非财政拨款结余用于弥补当年资金缺口</x:v>
      </x:c>
      <x:c r="C9" s="58" t="str">
        <x:v>认定为“亏损”</x:v>
      </x:c>
      <x:c r="D9" s="58" t="str">
        <x:v>视为资金来源/存量消耗信号，不称利润亏损</x:v>
      </x:c>
    </x:row>
    <x:row r="10">
      <x:c r="A10" s="58" t="str">
        <x:v>上年结转</x:v>
      </x:c>
      <x:c r="B10" s="58" t="str">
        <x:v>以前年度未完成、按原用途继续使用的项目资金</x:v>
      </x:c>
      <x:c r="C10" s="58" t="str">
        <x:v>当年新增收入</x:v>
      </x:c>
      <x:c r="D10" s="58" t="str">
        <x:v>与本年收入分开</x:v>
      </x:c>
    </x:row>
    <x:row r="11">
      <x:c r="A11" s="58" t="str">
        <x:v>结转下年</x:v>
      </x:c>
      <x:c r="B11" s="58" t="str">
        <x:v>年末尚未完成、继续按原用途使用的资金</x:v>
      </x:c>
      <x:c r="C11" s="58" t="str">
        <x:v>“盈利”或“现金沉淀”</x:v>
      </x:c>
      <x:c r="D11" s="58" t="str">
        <x:v>主要反映项目周期和执行进度</x:v>
      </x:c>
    </x:row>
    <x:row r="12">
      <x:c r="A12" s="58" t="str">
        <x:v>基本支出</x:v>
      </x:c>
      <x:c r="B12" s="58" t="str">
        <x:v>保障正常运转的人员、公用等支出</x:v>
      </x:c>
      <x:c r="C12" s="58" t="str">
        <x:v>等同固定成本</x:v>
      </x:c>
      <x:c r="D12" s="58" t="str">
        <x:v>用于观察刚性日常运行盘子</x:v>
      </x:c>
    </x:row>
    <x:row r="13">
      <x:c r="A13" s="58" t="str">
        <x:v>项目支出</x:v>
      </x:c>
      <x:c r="B13" s="58" t="str">
        <x:v>基本支出之外，为特定任务/事业发展目标发生的支出</x:v>
      </x:c>
      <x:c r="C13" s="58" t="str">
        <x:v>等同科研支出</x:v>
      </x:c>
      <x:c r="D13" s="58" t="str">
        <x:v>可能覆盖科研、基建、专项建设等</x:v>
      </x:c>
    </x:row>
    <x:row r="14">
      <x:c r="A14" s="58" t="str">
        <x:v>教育/科技功能支出</x:v>
      </x:c>
      <x:c r="B14" s="58" t="str">
        <x:v>政府收支分类体系中的功能科目</x:v>
      </x:c>
      <x:c r="C14" s="58" t="str">
        <x:v>直接等同真实教学/科研成本</x:v>
      </x:c>
      <x:c r="D14" s="58" t="str">
        <x:v>只能作财政功能分类，不作为管理会计成本中心</x:v>
      </x:c>
    </x:row>
    <x:row r="15">
      <x:c r="A15" s="58" t="str">
        <x:v>决算-预算偏差</x:v>
      </x:c>
      <x:c r="B15" s="58" t="str">
        <x:v>实际决算总经费相对年初预算的变化</x:v>
      </x:c>
      <x:c r="C15" s="58" t="str">
        <x:v>称为“盈余率/利润率”</x:v>
      </x:c>
      <x:c r="D15" s="58" t="str">
        <x:v>统一称“预算执行偏差”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48" hidden="0" customWidth="1"/>
    <x:col min="4" max="4" width="18" hidden="0" customWidth="1"/>
    <x:col min="5" max="5" width="68" hidden="0" customWidth="1"/>
  </x:cols>
  <x:sheetData>
    <x:row r="1" ht="24" customHeight="1">
      <x:c r="A1" s="5" t="str">
        <x:v>来源台账与证据等级</x:v>
      </x:c>
      <x:c r="B1" s="5"/>
      <x:c r="C1" s="5"/>
      <x:c r="D1" s="5"/>
      <x:c r="E1" s="5"/>
    </x:row>
    <x:row r="3">
      <x:c r="A3" s="19" t="str">
        <x:v>ID</x:v>
      </x:c>
      <x:c r="B3" s="19" t="str">
        <x:v>来源标题</x:v>
      </x:c>
      <x:c r="C3" s="19" t="str">
        <x:v>用途</x:v>
      </x:c>
      <x:c r="D3" s="19" t="str">
        <x:v>证据等级</x:v>
      </x:c>
      <x:c r="E3" s="19" t="str">
        <x:v>URL</x:v>
      </x:c>
    </x:row>
    <x:row r="4">
      <x:c r="A4" t="str">
        <x:v>RANK-1</x:v>
      </x:c>
      <x:c r="B4" s="58" t="str">
        <x:v>2026软科中国大学排名发布（CERNET转载软科）</x:v>
      </x:c>
      <x:c r="C4" s="58" t="str">
        <x:v>Top100榜单框架、9所非双一流院校识别</x:v>
      </x:c>
      <x:c r="D4" s="58" t="str">
        <x:v>高</x:v>
      </x:c>
      <x:c r="E4" s="30" t="str">
        <x:v>https://www.cernet.edu.cn/rd/gao_xiao_cheng_guo/ssgx/202604/t20260416_2728637.shtml</x:v>
      </x:c>
    </x:row>
    <x:row r="5">
      <x:c r="A5" t="str">
        <x:v>RANK-2</x:v>
      </x:c>
      <x:c r="B5" s="58" t="str">
        <x:v>软科2026中国大学排名Top100完整列表（新东方在线转录）</x:v>
      </x:c>
      <x:c r="C5" s="58" t="str">
        <x:v>Top100名次与总分逐校转录</x:v>
      </x:c>
      <x:c r="D5" s="58" t="str">
        <x:v>中高</x:v>
      </x:c>
      <x:c r="E5" s="30" t="str">
        <x:v>https://ielts.koolearn.com/20260428/867899.html</x:v>
      </x:c>
    </x:row>
    <x:row r="6">
      <x:c r="A6" t="str">
        <x:v>BUD-26</x:v>
      </x:c>
      <x:c r="B6" s="58" t="str">
        <x:v>2026年中国大学年度预算经费统计（CNUR汇总各校官网/教育部门）</x:v>
      </x:c>
      <x:c r="C6" s="58" t="str">
        <x:v>Top100 2026年度总预算经费</x:v>
      </x:c>
      <x:c r="D6" s="58" t="str">
        <x:v>中高（汇总源）</x:v>
      </x:c>
      <x:c r="E6" s="30" t="str">
        <x:v>https://www.cnur.com/detail/4350.html</x:v>
      </x:c>
    </x:row>
    <x:row r="7">
      <x:c r="A7" t="str">
        <x:v>HIS-23</x:v>
      </x:c>
      <x:c r="B7" s="58" t="str">
        <x:v>双一流高校预算、决算统计（2023-2024）</x:v>
      </x:c>
      <x:c r="C7" s="58" t="str">
        <x:v>2023预算、2023决算、2024预算历史底表</x:v>
      </x:c>
      <x:c r="D7" s="58" t="str">
        <x:v>中高（汇总源）</x:v>
      </x:c>
      <x:c r="E7" s="30" t="str">
        <x:v>https://www.cnur.com/xueshu/2201.html</x:v>
      </x:c>
    </x:row>
    <x:row r="8">
      <x:c r="A8" t="str">
        <x:v>HIS-24</x:v>
      </x:c>
      <x:c r="B8" s="58" t="str">
        <x:v>双一流高校预决算一览表（2024-2025）</x:v>
      </x:c>
      <x:c r="C8" s="58" t="str">
        <x:v>2024预算、2024决算、2025预算历史底表</x:v>
      </x:c>
      <x:c r="D8" s="58" t="str">
        <x:v>中高（汇总源）</x:v>
      </x:c>
      <x:c r="E8" s="30" t="str">
        <x:v>https://www.cnur.com/xueshu/3514.html</x:v>
      </x:c>
    </x:row>
    <x:row r="9">
      <x:c r="A9" t="str">
        <x:v>THU-26</x:v>
      </x:c>
      <x:c r="B9" s="58" t="str">
        <x:v>清华大学2026年度部门预算</x:v>
      </x:c>
      <x:c r="C9" s="58" t="str">
        <x:v>收入/支出结构、结转与结余口径</x:v>
      </x:c>
      <x:c r="D9" s="58" t="str">
        <x:v>官方</x:v>
      </x:c>
      <x:c r="E9" s="30" t="str">
        <x:v>https://www.tsinghua.edu.cn/__local/B/DA/82/5C6F131EE6AB26E752548AD706D_9E6258EF_9DAAD.pdf</x:v>
      </x:c>
    </x:row>
    <x:row r="10">
      <x:c r="A10" t="str">
        <x:v>SJTU-26</x:v>
      </x:c>
      <x:c r="B10" s="58" t="str">
        <x:v>上海交通大学2026年度部门预算</x:v>
      </x:c>
      <x:c r="C10" s="58" t="str">
        <x:v>收入/支出结构、结转与结余口径</x:v>
      </x:c>
      <x:c r="D10" s="58" t="str">
        <x:v>官方</x:v>
      </x:c>
      <x:c r="E10" s="30" t="str">
        <x:v>https://gk.sjtu.edu.cn/Assets/userfiles/sys_eb538c1c-65ff-4e82-8e6a-a1ef01127fed/files/20260423/20260423134912384.pdf</x:v>
      </x:c>
    </x:row>
    <x:row r="11">
      <x:c r="A11" t="str">
        <x:v>BIT-26</x:v>
      </x:c>
      <x:c r="B11" s="58" t="str">
        <x:v>北京理工大学2026年度部门预算</x:v>
      </x:c>
      <x:c r="C11" s="58" t="str">
        <x:v>收入/支出结构、结转与结余口径</x:v>
      </x:c>
      <x:c r="D11" s="58" t="str">
        <x:v>官方</x:v>
      </x:c>
      <x:c r="E11" s="30" t="str">
        <x:v>https://xxgk.bit.edu.cn/docs/2026-04/122c058af442403a836ae073ac2af456.pdf</x:v>
      </x:c>
    </x:row>
    <x:row r="12">
      <x:c r="A12" t="str">
        <x:v>PKU-25</x:v>
      </x:c>
      <x:c r="B12" s="58" t="str">
        <x:v>北京大学部门预算公开PDF（报表为2025年）</x:v>
      </x:c>
      <x:c r="C12" s="58" t="str">
        <x:v>收入/支出结构、医院不并表边界</x:v>
      </x:c>
      <x:c r="D12" s="58" t="str">
        <x:v>官方</x:v>
      </x:c>
      <x:c r="E12" s="30" t="str">
        <x:v>https://xxgk.pku.edu.cn/docs/2026-06/d26e126751e14387b337d3e06164e302.pdf</x:v>
      </x:c>
    </x:row>
    <x:row r="13">
      <x:c r="A13" t="str">
        <x:v>HIT-24</x:v>
      </x:c>
      <x:c r="B13" s="58" t="str">
        <x:v>哈尔滨工业大学2024年度部门预算</x:v>
      </x:c>
      <x:c r="C13" s="58" t="str">
        <x:v>收入/支出结构、科研功能支出案例</x:v>
      </x:c>
      <x:c r="D13" s="58" t="str">
        <x:v>官方</x:v>
      </x:c>
      <x:c r="E13" s="30" t="str">
        <x:v>https://xxgk.hit.edu.cn/_upload/article/files/38/17/5b2bfa74467188815c00caf7b156/ed79d374-3a83-4f1e-bfa3-b2c8279cc455.pdf</x:v>
      </x:c>
    </x:row>
  </x:sheetData>
  <x:mergeCells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4" hidden="0" customWidth="1"/>
    <x:col min="4" max="4" width="18" hidden="0" customWidth="1"/>
    <x:col min="5" max="5" width="20" hidden="0" customWidth="1"/>
    <x:col min="6" max="6" width="20" hidden="0" customWidth="1"/>
  </x:cols>
  <x:sheetData>
    <x:row r="1" ht="24" customHeight="1">
      <x:c r="A1" s="5" t="str">
        <x:v>数据覆盖与可比性标记</x:v>
      </x:c>
      <x:c r="B1" s="5"/>
      <x:c r="C1" s="5"/>
      <x:c r="D1" s="5"/>
      <x:c r="E1" s="5"/>
      <x:c r="F1" s="5"/>
    </x:row>
    <x:row r="3">
      <x:c r="A3" s="19" t="str">
        <x:v>学校</x:v>
      </x:c>
      <x:c r="B3" s="19" t="str">
        <x:v>2026总预算</x:v>
      </x:c>
      <x:c r="C3" s="19" t="str">
        <x:v>2023历史</x:v>
      </x:c>
      <x:c r="D3" s="19" t="str">
        <x:v>2024决算/2025预算</x:v>
      </x:c>
      <x:c r="E3" s="19" t="str">
        <x:v>详细收入结构</x:v>
      </x:c>
      <x:c r="F3" s="19" t="str">
        <x:v>详细支出结构</x:v>
      </x:c>
    </x:row>
    <x:row r="4">
      <x:c r="A4" t="str">
        <x:v>清华大学</x:v>
      </x:c>
      <x:c r="B4" t="str">
        <x:v>有</x:v>
      </x:c>
      <x:c r="C4" t="str">
        <x:v>有</x:v>
      </x:c>
      <x:c r="D4" t="str">
        <x:v>有</x:v>
      </x:c>
      <x:c r="E4" t="str">
        <x:v>有（精选官方案例）</x:v>
      </x:c>
      <x:c r="F4" t="str">
        <x:v>有（精选官方案例）</x:v>
      </x:c>
    </x:row>
    <x:row r="5">
      <x:c r="A5" t="str">
        <x:v>北京大学</x:v>
      </x:c>
      <x:c r="B5" t="str">
        <x:v>有</x:v>
      </x:c>
      <x:c r="C5" t="str">
        <x:v>有</x:v>
      </x:c>
      <x:c r="D5" t="str">
        <x:v>有</x:v>
      </x:c>
      <x:c r="E5" t="str">
        <x:v>有（精选官方案例）</x:v>
      </x:c>
      <x:c r="F5" t="str">
        <x:v>有（精选官方案例）</x:v>
      </x:c>
    </x:row>
    <x:row r="6">
      <x:c r="A6" t="str">
        <x:v>浙江大学</x:v>
      </x:c>
      <x:c r="B6" t="str">
        <x:v>有</x:v>
      </x:c>
      <x:c r="C6" t="str">
        <x:v>有</x:v>
      </x:c>
      <x:c r="D6" t="str">
        <x:v>有</x:v>
      </x:c>
      <x:c r="E6" t="str">
        <x:v>未逐校拆分</x:v>
      </x:c>
      <x:c r="F6" t="str">
        <x:v>未逐校拆分</x:v>
      </x:c>
    </x:row>
    <x:row r="7">
      <x:c r="A7" t="str">
        <x:v>上海交通大学</x:v>
      </x:c>
      <x:c r="B7" t="str">
        <x:v>有</x:v>
      </x:c>
      <x:c r="C7" t="str">
        <x:v>有</x:v>
      </x:c>
      <x:c r="D7" t="str">
        <x:v>有</x:v>
      </x:c>
      <x:c r="E7" t="str">
        <x:v>有（精选官方案例）</x:v>
      </x:c>
      <x:c r="F7" t="str">
        <x:v>有（精选官方案例）</x:v>
      </x:c>
    </x:row>
    <x:row r="8">
      <x:c r="A8" t="str">
        <x:v>复旦大学</x:v>
      </x:c>
      <x:c r="B8" t="str">
        <x:v>有</x:v>
      </x:c>
      <x:c r="C8" t="str">
        <x:v>有</x:v>
      </x:c>
      <x:c r="D8" t="str">
        <x:v>有</x:v>
      </x:c>
      <x:c r="E8" t="str">
        <x:v>未逐校拆分</x:v>
      </x:c>
      <x:c r="F8" t="str">
        <x:v>未逐校拆分</x:v>
      </x:c>
    </x:row>
    <x:row r="9">
      <x:c r="A9" t="str">
        <x:v>南京大学</x:v>
      </x:c>
      <x:c r="B9" t="str">
        <x:v>有</x:v>
      </x:c>
      <x:c r="C9" t="str">
        <x:v>有</x:v>
      </x:c>
      <x:c r="D9" t="str">
        <x:v>有</x:v>
      </x:c>
      <x:c r="E9" t="str">
        <x:v>未逐校拆分</x:v>
      </x:c>
      <x:c r="F9" t="str">
        <x:v>未逐校拆分</x:v>
      </x:c>
    </x:row>
    <x:row r="10">
      <x:c r="A10" t="str">
        <x:v>中国科学技术大学</x:v>
      </x:c>
      <x:c r="B10" t="str">
        <x:v>有</x:v>
      </x:c>
      <x:c r="C10" t="str">
        <x:v>有</x:v>
      </x:c>
      <x:c r="D10" t="str">
        <x:v>有</x:v>
      </x:c>
      <x:c r="E10" t="str">
        <x:v>未逐校拆分</x:v>
      </x:c>
      <x:c r="F10" t="str">
        <x:v>未逐校拆分</x:v>
      </x:c>
    </x:row>
    <x:row r="11">
      <x:c r="A11" t="str">
        <x:v>武汉大学</x:v>
      </x:c>
      <x:c r="B11" t="str">
        <x:v>有</x:v>
      </x:c>
      <x:c r="C11" t="str">
        <x:v>有</x:v>
      </x:c>
      <x:c r="D11" t="str">
        <x:v>有</x:v>
      </x:c>
      <x:c r="E11" t="str">
        <x:v>未逐校拆分</x:v>
      </x:c>
      <x:c r="F11" t="str">
        <x:v>未逐校拆分</x:v>
      </x:c>
    </x:row>
    <x:row r="12">
      <x:c r="A12" t="str">
        <x:v>华中科技大学</x:v>
      </x:c>
      <x:c r="B12" t="str">
        <x:v>有</x:v>
      </x:c>
      <x:c r="C12" t="str">
        <x:v>有</x:v>
      </x:c>
      <x:c r="D12" t="str">
        <x:v>有</x:v>
      </x:c>
      <x:c r="E12" t="str">
        <x:v>未逐校拆分</x:v>
      </x:c>
      <x:c r="F12" t="str">
        <x:v>未逐校拆分</x:v>
      </x:c>
    </x:row>
    <x:row r="13">
      <x:c r="A13" t="str">
        <x:v>西安交通大学</x:v>
      </x:c>
      <x:c r="B13" t="str">
        <x:v>有</x:v>
      </x:c>
      <x:c r="C13" t="str">
        <x:v>有</x:v>
      </x:c>
      <x:c r="D13" t="str">
        <x:v>有</x:v>
      </x:c>
      <x:c r="E13" t="str">
        <x:v>未逐校拆分</x:v>
      </x:c>
      <x:c r="F13" t="str">
        <x:v>未逐校拆分</x:v>
      </x:c>
    </x:row>
    <x:row r="14">
      <x:c r="A14" t="str">
        <x:v>北京航空航天大学</x:v>
      </x:c>
      <x:c r="B14" t="str">
        <x:v>有</x:v>
      </x:c>
      <x:c r="C14" t="str">
        <x:v>有</x:v>
      </x:c>
      <x:c r="D14" t="str">
        <x:v>有</x:v>
      </x:c>
      <x:c r="E14" t="str">
        <x:v>未逐校拆分</x:v>
      </x:c>
      <x:c r="F14" t="str">
        <x:v>未逐校拆分</x:v>
      </x:c>
    </x:row>
    <x:row r="15">
      <x:c r="A15" t="str">
        <x:v>哈尔滨工业大学</x:v>
      </x:c>
      <x:c r="B15" t="str">
        <x:v>有</x:v>
      </x:c>
      <x:c r="C15" t="str">
        <x:v>有</x:v>
      </x:c>
      <x:c r="D15" t="str">
        <x:v>有</x:v>
      </x:c>
      <x:c r="E15" t="str">
        <x:v>有（精选官方案例）</x:v>
      </x:c>
      <x:c r="F15" t="str">
        <x:v>有（精选官方案例）</x:v>
      </x:c>
    </x:row>
    <x:row r="16">
      <x:c r="A16" t="str">
        <x:v>中山大学</x:v>
      </x:c>
      <x:c r="B16" t="str">
        <x:v>有</x:v>
      </x:c>
      <x:c r="C16" t="str">
        <x:v>有</x:v>
      </x:c>
      <x:c r="D16" t="str">
        <x:v>有</x:v>
      </x:c>
      <x:c r="E16" t="str">
        <x:v>未逐校拆分</x:v>
      </x:c>
      <x:c r="F16" t="str">
        <x:v>未逐校拆分</x:v>
      </x:c>
    </x:row>
    <x:row r="17">
      <x:c r="A17" t="str">
        <x:v>北京理工大学</x:v>
      </x:c>
      <x:c r="B17" t="str">
        <x:v>有</x:v>
      </x:c>
      <x:c r="C17" t="str">
        <x:v>有</x:v>
      </x:c>
      <x:c r="D17" t="str">
        <x:v>有</x:v>
      </x:c>
      <x:c r="E17" t="str">
        <x:v>有（精选官方案例）</x:v>
      </x:c>
      <x:c r="F17" t="str">
        <x:v>有（精选官方案例）</x:v>
      </x:c>
    </x:row>
    <x:row r="18">
      <x:c r="A18" t="str">
        <x:v>东南大学</x:v>
      </x:c>
      <x:c r="B18" t="str">
        <x:v>有</x:v>
      </x:c>
      <x:c r="C18" t="str">
        <x:v>有</x:v>
      </x:c>
      <x:c r="D18" t="str">
        <x:v>有</x:v>
      </x:c>
      <x:c r="E18" t="str">
        <x:v>未逐校拆分</x:v>
      </x:c>
      <x:c r="F18" t="str">
        <x:v>未逐校拆分</x:v>
      </x:c>
    </x:row>
    <x:row r="19">
      <x:c r="A19" t="str">
        <x:v>四川大学</x:v>
      </x:c>
      <x:c r="B19" t="str">
        <x:v>有</x:v>
      </x:c>
      <x:c r="C19" t="str">
        <x:v>有</x:v>
      </x:c>
      <x:c r="D19" t="str">
        <x:v>有</x:v>
      </x:c>
      <x:c r="E19" t="str">
        <x:v>未逐校拆分</x:v>
      </x:c>
      <x:c r="F19" t="str">
        <x:v>未逐校拆分</x:v>
      </x:c>
    </x:row>
    <x:row r="20">
      <x:c r="A20" t="str">
        <x:v>中国人民大学</x:v>
      </x:c>
      <x:c r="B20" t="str">
        <x:v>有</x:v>
      </x:c>
      <x:c r="C20" t="str">
        <x:v>有</x:v>
      </x:c>
      <x:c r="D20" t="str">
        <x:v>有</x:v>
      </x:c>
      <x:c r="E20" t="str">
        <x:v>未逐校拆分</x:v>
      </x:c>
      <x:c r="F20" t="str">
        <x:v>未逐校拆分</x:v>
      </x:c>
    </x:row>
    <x:row r="21">
      <x:c r="A21" t="str">
        <x:v>同济大学</x:v>
      </x:c>
      <x:c r="B21" t="str">
        <x:v>有</x:v>
      </x:c>
      <x:c r="C21" t="str">
        <x:v>有</x:v>
      </x:c>
      <x:c r="D21" t="str">
        <x:v>有</x:v>
      </x:c>
      <x:c r="E21" t="str">
        <x:v>未逐校拆分</x:v>
      </x:c>
      <x:c r="F21" t="str">
        <x:v>未逐校拆分</x:v>
      </x:c>
    </x:row>
    <x:row r="22">
      <x:c r="A22" t="str">
        <x:v>北京师范大学</x:v>
      </x:c>
      <x:c r="B22" t="str">
        <x:v>有</x:v>
      </x:c>
      <x:c r="C22" t="str">
        <x:v>有</x:v>
      </x:c>
      <x:c r="D22" t="str">
        <x:v>有</x:v>
      </x:c>
      <x:c r="E22" t="str">
        <x:v>未逐校拆分</x:v>
      </x:c>
      <x:c r="F22" t="str">
        <x:v>未逐校拆分</x:v>
      </x:c>
    </x:row>
    <x:row r="23">
      <x:c r="A23" t="str">
        <x:v>天津大学</x:v>
      </x:c>
      <x:c r="B23" t="str">
        <x:v>有</x:v>
      </x:c>
      <x:c r="C23" t="str">
        <x:v>有</x:v>
      </x:c>
      <x:c r="D23" t="str">
        <x:v>有</x:v>
      </x:c>
      <x:c r="E23" t="str">
        <x:v>未逐校拆分</x:v>
      </x:c>
      <x:c r="F23" t="str">
        <x:v>未逐校拆分</x:v>
      </x:c>
    </x:row>
    <x:row r="24">
      <x:c r="A24" t="str">
        <x:v>南开大学</x:v>
      </x:c>
      <x:c r="B24" t="str">
        <x:v>有</x:v>
      </x:c>
      <x:c r="C24" t="str">
        <x:v>有</x:v>
      </x:c>
      <x:c r="D24" t="str">
        <x:v>有</x:v>
      </x:c>
      <x:c r="E24" t="str">
        <x:v>未逐校拆分</x:v>
      </x:c>
      <x:c r="F24" t="str">
        <x:v>未逐校拆分</x:v>
      </x:c>
    </x:row>
    <x:row r="25">
      <x:c r="A25" t="str">
        <x:v>山东大学</x:v>
      </x:c>
      <x:c r="B25" t="str">
        <x:v>有</x:v>
      </x:c>
      <x:c r="C25" t="str">
        <x:v>有</x:v>
      </x:c>
      <x:c r="D25" t="str">
        <x:v>有</x:v>
      </x:c>
      <x:c r="E25" t="str">
        <x:v>未逐校拆分</x:v>
      </x:c>
      <x:c r="F25" t="str">
        <x:v>未逐校拆分</x:v>
      </x:c>
    </x:row>
    <x:row r="26">
      <x:c r="A26" t="str">
        <x:v>西北工业大学</x:v>
      </x:c>
      <x:c r="B26" t="str">
        <x:v>有</x:v>
      </x:c>
      <x:c r="C26" t="str">
        <x:v>有</x:v>
      </x:c>
      <x:c r="D26" t="str">
        <x:v>有</x:v>
      </x:c>
      <x:c r="E26" t="str">
        <x:v>未逐校拆分</x:v>
      </x:c>
      <x:c r="F26" t="str">
        <x:v>未逐校拆分</x:v>
      </x:c>
    </x:row>
    <x:row r="27">
      <x:c r="A27" t="str">
        <x:v>中国农业大学</x:v>
      </x:c>
      <x:c r="B27" t="str">
        <x:v>有</x:v>
      </x:c>
      <x:c r="C27" t="str">
        <x:v>有</x:v>
      </x:c>
      <x:c r="D27" t="str">
        <x:v>有</x:v>
      </x:c>
      <x:c r="E27" t="str">
        <x:v>未逐校拆分</x:v>
      </x:c>
      <x:c r="F27" t="str">
        <x:v>未逐校拆分</x:v>
      </x:c>
    </x:row>
    <x:row r="28">
      <x:c r="A28" t="str">
        <x:v>厦门大学</x:v>
      </x:c>
      <x:c r="B28" t="str">
        <x:v>有</x:v>
      </x:c>
      <x:c r="C28" t="str">
        <x:v>有</x:v>
      </x:c>
      <x:c r="D28" t="str">
        <x:v>有</x:v>
      </x:c>
      <x:c r="E28" t="str">
        <x:v>未逐校拆分</x:v>
      </x:c>
      <x:c r="F28" t="str">
        <x:v>未逐校拆分</x:v>
      </x:c>
    </x:row>
    <x:row r="29">
      <x:c r="A29" t="str">
        <x:v>吉林大学</x:v>
      </x:c>
      <x:c r="B29" t="str">
        <x:v>有</x:v>
      </x:c>
      <x:c r="C29" t="str">
        <x:v>有</x:v>
      </x:c>
      <x:c r="D29" t="str">
        <x:v>有</x:v>
      </x:c>
      <x:c r="E29" t="str">
        <x:v>未逐校拆分</x:v>
      </x:c>
      <x:c r="F29" t="str">
        <x:v>未逐校拆分</x:v>
      </x:c>
    </x:row>
    <x:row r="30">
      <x:c r="A30" t="str">
        <x:v>中南大学</x:v>
      </x:c>
      <x:c r="B30" t="str">
        <x:v>有</x:v>
      </x:c>
      <x:c r="C30" t="str">
        <x:v>有</x:v>
      </x:c>
      <x:c r="D30" t="str">
        <x:v>有</x:v>
      </x:c>
      <x:c r="E30" t="str">
        <x:v>未逐校拆分</x:v>
      </x:c>
      <x:c r="F30" t="str">
        <x:v>未逐校拆分</x:v>
      </x:c>
    </x:row>
    <x:row r="31">
      <x:c r="A31" t="str">
        <x:v>大连理工大学</x:v>
      </x:c>
      <x:c r="B31" t="str">
        <x:v>有</x:v>
      </x:c>
      <x:c r="C31" t="str">
        <x:v>有</x:v>
      </x:c>
      <x:c r="D31" t="str">
        <x:v>有</x:v>
      </x:c>
      <x:c r="E31" t="str">
        <x:v>未逐校拆分</x:v>
      </x:c>
      <x:c r="F31" t="str">
        <x:v>未逐校拆分</x:v>
      </x:c>
    </x:row>
    <x:row r="32">
      <x:c r="A32" t="str">
        <x:v>华东师范大学</x:v>
      </x:c>
      <x:c r="B32" t="str">
        <x:v>有</x:v>
      </x:c>
      <x:c r="C32" t="str">
        <x:v>有</x:v>
      </x:c>
      <x:c r="D32" t="str">
        <x:v>有</x:v>
      </x:c>
      <x:c r="E32" t="str">
        <x:v>未逐校拆分</x:v>
      </x:c>
      <x:c r="F32" t="str">
        <x:v>未逐校拆分</x:v>
      </x:c>
    </x:row>
    <x:row r="33">
      <x:c r="A33" t="str">
        <x:v>南方科技大学</x:v>
      </x:c>
      <x:c r="B33" t="str">
        <x:v>有</x:v>
      </x:c>
      <x:c r="C33" t="str">
        <x:v>有</x:v>
      </x:c>
      <x:c r="D33" t="str">
        <x:v>有</x:v>
      </x:c>
      <x:c r="E33" t="str">
        <x:v>未逐校拆分</x:v>
      </x:c>
      <x:c r="F33" t="str">
        <x:v>未逐校拆分</x:v>
      </x:c>
    </x:row>
    <x:row r="34">
      <x:c r="A34" t="str">
        <x:v>湖南大学</x:v>
      </x:c>
      <x:c r="B34" t="str">
        <x:v>有</x:v>
      </x:c>
      <x:c r="C34" t="str">
        <x:v>有</x:v>
      </x:c>
      <x:c r="D34" t="str">
        <x:v>有</x:v>
      </x:c>
      <x:c r="E34" t="str">
        <x:v>未逐校拆分</x:v>
      </x:c>
      <x:c r="F34" t="str">
        <x:v>未逐校拆分</x:v>
      </x:c>
    </x:row>
    <x:row r="35">
      <x:c r="A35" t="str">
        <x:v>华南理工大学</x:v>
      </x:c>
      <x:c r="B35" t="str">
        <x:v>有</x:v>
      </x:c>
      <x:c r="C35" t="str">
        <x:v>有</x:v>
      </x:c>
      <x:c r="D35" t="str">
        <x:v>有</x:v>
      </x:c>
      <x:c r="E35" t="str">
        <x:v>未逐校拆分</x:v>
      </x:c>
      <x:c r="F35" t="str">
        <x:v>未逐校拆分</x:v>
      </x:c>
    </x:row>
    <x:row r="36">
      <x:c r="A36" t="str">
        <x:v>电子科技大学</x:v>
      </x:c>
      <x:c r="B36" t="str">
        <x:v>有</x:v>
      </x:c>
      <x:c r="C36" t="str">
        <x:v>有</x:v>
      </x:c>
      <x:c r="D36" t="str">
        <x:v>有</x:v>
      </x:c>
      <x:c r="E36" t="str">
        <x:v>未逐校拆分</x:v>
      </x:c>
      <x:c r="F36" t="str">
        <x:v>未逐校拆分</x:v>
      </x:c>
    </x:row>
    <x:row r="37">
      <x:c r="A37" t="str">
        <x:v>重庆大学</x:v>
      </x:c>
      <x:c r="B37" t="str">
        <x:v>有</x:v>
      </x:c>
      <x:c r="C37" t="str">
        <x:v>有</x:v>
      </x:c>
      <x:c r="D37" t="str">
        <x:v>有</x:v>
      </x:c>
      <x:c r="E37" t="str">
        <x:v>未逐校拆分</x:v>
      </x:c>
      <x:c r="F37" t="str">
        <x:v>未逐校拆分</x:v>
      </x:c>
    </x:row>
    <x:row r="38">
      <x:c r="A38" t="str">
        <x:v>北京科技大学</x:v>
      </x:c>
      <x:c r="B38" t="str">
        <x:v>有</x:v>
      </x:c>
      <x:c r="C38" t="str">
        <x:v>有</x:v>
      </x:c>
      <x:c r="D38" t="str">
        <x:v>有</x:v>
      </x:c>
      <x:c r="E38" t="str">
        <x:v>未逐校拆分</x:v>
      </x:c>
      <x:c r="F38" t="str">
        <x:v>未逐校拆分</x:v>
      </x:c>
    </x:row>
    <x:row r="39">
      <x:c r="A39" t="str">
        <x:v>南京理工大学</x:v>
      </x:c>
      <x:c r="B39" t="str">
        <x:v>有</x:v>
      </x:c>
      <x:c r="C39" t="str">
        <x:v>有</x:v>
      </x:c>
      <x:c r="D39" t="str">
        <x:v>有</x:v>
      </x:c>
      <x:c r="E39" t="str">
        <x:v>未逐校拆分</x:v>
      </x:c>
      <x:c r="F39" t="str">
        <x:v>未逐校拆分</x:v>
      </x:c>
    </x:row>
    <x:row r="40">
      <x:c r="A40" t="str">
        <x:v>南京航空航天大学</x:v>
      </x:c>
      <x:c r="B40" t="str">
        <x:v>有</x:v>
      </x:c>
      <x:c r="C40" t="str">
        <x:v>有</x:v>
      </x:c>
      <x:c r="D40" t="str">
        <x:v>有</x:v>
      </x:c>
      <x:c r="E40" t="str">
        <x:v>未逐校拆分</x:v>
      </x:c>
      <x:c r="F40" t="str">
        <x:v>未逐校拆分</x:v>
      </x:c>
    </x:row>
    <x:row r="41">
      <x:c r="A41" t="str">
        <x:v>东北大学</x:v>
      </x:c>
      <x:c r="B41" t="str">
        <x:v>有</x:v>
      </x:c>
      <x:c r="C41" t="str">
        <x:v>有</x:v>
      </x:c>
      <x:c r="D41" t="str">
        <x:v>有</x:v>
      </x:c>
      <x:c r="E41" t="str">
        <x:v>未逐校拆分</x:v>
      </x:c>
      <x:c r="F41" t="str">
        <x:v>未逐校拆分</x:v>
      </x:c>
    </x:row>
    <x:row r="42">
      <x:c r="A42" t="str">
        <x:v>西安电子科技大学</x:v>
      </x:c>
      <x:c r="B42" t="str">
        <x:v>有</x:v>
      </x:c>
      <x:c r="C42" t="str">
        <x:v>有</x:v>
      </x:c>
      <x:c r="D42" t="str">
        <x:v>有</x:v>
      </x:c>
      <x:c r="E42" t="str">
        <x:v>未逐校拆分</x:v>
      </x:c>
      <x:c r="F42" t="str">
        <x:v>未逐校拆分</x:v>
      </x:c>
    </x:row>
    <x:row r="43">
      <x:c r="A43" t="str">
        <x:v>兰州大学</x:v>
      </x:c>
      <x:c r="B43" t="str">
        <x:v>有</x:v>
      </x:c>
      <x:c r="C43" t="str">
        <x:v>有</x:v>
      </x:c>
      <x:c r="D43" t="str">
        <x:v>有</x:v>
      </x:c>
      <x:c r="E43" t="str">
        <x:v>未逐校拆分</x:v>
      </x:c>
      <x:c r="F43" t="str">
        <x:v>未逐校拆分</x:v>
      </x:c>
    </x:row>
    <x:row r="44">
      <x:c r="A44" t="str">
        <x:v>北京交通大学</x:v>
      </x:c>
      <x:c r="B44" t="str">
        <x:v>有</x:v>
      </x:c>
      <x:c r="C44" t="str">
        <x:v>有</x:v>
      </x:c>
      <x:c r="D44" t="str">
        <x:v>有</x:v>
      </x:c>
      <x:c r="E44" t="str">
        <x:v>未逐校拆分</x:v>
      </x:c>
      <x:c r="F44" t="str">
        <x:v>未逐校拆分</x:v>
      </x:c>
    </x:row>
    <x:row r="45">
      <x:c r="A45" t="str">
        <x:v>华东理工大学</x:v>
      </x:c>
      <x:c r="B45" t="str">
        <x:v>有</x:v>
      </x:c>
      <x:c r="C45" t="str">
        <x:v>有</x:v>
      </x:c>
      <x:c r="D45" t="str">
        <x:v>有</x:v>
      </x:c>
      <x:c r="E45" t="str">
        <x:v>未逐校拆分</x:v>
      </x:c>
      <x:c r="F45" t="str">
        <x:v>未逐校拆分</x:v>
      </x:c>
    </x:row>
    <x:row r="46">
      <x:c r="A46" t="str">
        <x:v>哈尔滨工程大学</x:v>
      </x:c>
      <x:c r="B46" t="str">
        <x:v>有</x:v>
      </x:c>
      <x:c r="C46" t="str">
        <x:v>有</x:v>
      </x:c>
      <x:c r="D46" t="str">
        <x:v>有</x:v>
      </x:c>
      <x:c r="E46" t="str">
        <x:v>未逐校拆分</x:v>
      </x:c>
      <x:c r="F46" t="str">
        <x:v>未逐校拆分</x:v>
      </x:c>
    </x:row>
    <x:row r="47">
      <x:c r="A47" t="str">
        <x:v>郑州大学</x:v>
      </x:c>
      <x:c r="B47" t="str">
        <x:v>有</x:v>
      </x:c>
      <x:c r="C47" t="str">
        <x:v>缺失</x:v>
      </x:c>
      <x:c r="D47" t="str">
        <x:v>有</x:v>
      </x:c>
      <x:c r="E47" t="str">
        <x:v>未逐校拆分</x:v>
      </x:c>
      <x:c r="F47" t="str">
        <x:v>未逐校拆分</x:v>
      </x:c>
    </x:row>
    <x:row r="48">
      <x:c r="A48" t="str">
        <x:v>华中农业大学</x:v>
      </x:c>
      <x:c r="B48" t="str">
        <x:v>有</x:v>
      </x:c>
      <x:c r="C48" t="str">
        <x:v>有</x:v>
      </x:c>
      <x:c r="D48" t="str">
        <x:v>有</x:v>
      </x:c>
      <x:c r="E48" t="str">
        <x:v>未逐校拆分</x:v>
      </x:c>
      <x:c r="F48" t="str">
        <x:v>未逐校拆分</x:v>
      </x:c>
    </x:row>
    <x:row r="49">
      <x:c r="A49" t="str">
        <x:v>苏州大学</x:v>
      </x:c>
      <x:c r="B49" t="str">
        <x:v>有</x:v>
      </x:c>
      <x:c r="C49" t="str">
        <x:v>有</x:v>
      </x:c>
      <x:c r="D49" t="str">
        <x:v>有</x:v>
      </x:c>
      <x:c r="E49" t="str">
        <x:v>未逐校拆分</x:v>
      </x:c>
      <x:c r="F49" t="str">
        <x:v>未逐校拆分</x:v>
      </x:c>
    </x:row>
    <x:row r="50">
      <x:c r="A50" t="str">
        <x:v>上海科技大学</x:v>
      </x:c>
      <x:c r="B50" t="str">
        <x:v>有</x:v>
      </x:c>
      <x:c r="C50" t="str">
        <x:v>缺失</x:v>
      </x:c>
      <x:c r="D50" t="str">
        <x:v>有</x:v>
      </x:c>
      <x:c r="E50" t="str">
        <x:v>未逐校拆分</x:v>
      </x:c>
      <x:c r="F50" t="str">
        <x:v>未逐校拆分</x:v>
      </x:c>
    </x:row>
    <x:row r="51">
      <x:c r="A51" t="str">
        <x:v>东北师范大学</x:v>
      </x:c>
      <x:c r="B51" t="str">
        <x:v>有</x:v>
      </x:c>
      <x:c r="C51" t="str">
        <x:v>有</x:v>
      </x:c>
      <x:c r="D51" t="str">
        <x:v>有</x:v>
      </x:c>
      <x:c r="E51" t="str">
        <x:v>未逐校拆分</x:v>
      </x:c>
      <x:c r="F51" t="str">
        <x:v>未逐校拆分</x:v>
      </x:c>
    </x:row>
    <x:row r="52">
      <x:c r="A52" t="str">
        <x:v>西南交通大学</x:v>
      </x:c>
      <x:c r="B52" t="str">
        <x:v>有</x:v>
      </x:c>
      <x:c r="C52" t="str">
        <x:v>有</x:v>
      </x:c>
      <x:c r="D52" t="str">
        <x:v>有</x:v>
      </x:c>
      <x:c r="E52" t="str">
        <x:v>未逐校拆分</x:v>
      </x:c>
      <x:c r="F52" t="str">
        <x:v>未逐校拆分</x:v>
      </x:c>
    </x:row>
    <x:row r="53">
      <x:c r="A53" t="str">
        <x:v>北京邮电大学</x:v>
      </x:c>
      <x:c r="B53" t="str">
        <x:v>有</x:v>
      </x:c>
      <x:c r="C53" t="str">
        <x:v>有</x:v>
      </x:c>
      <x:c r="D53" t="str">
        <x:v>有</x:v>
      </x:c>
      <x:c r="E53" t="str">
        <x:v>未逐校拆分</x:v>
      </x:c>
      <x:c r="F53" t="str">
        <x:v>未逐校拆分</x:v>
      </x:c>
    </x:row>
    <x:row r="54">
      <x:c r="A54" t="str">
        <x:v>中国海洋大学</x:v>
      </x:c>
      <x:c r="B54" t="str">
        <x:v>有</x:v>
      </x:c>
      <x:c r="C54" t="str">
        <x:v>有</x:v>
      </x:c>
      <x:c r="D54" t="str">
        <x:v>有</x:v>
      </x:c>
      <x:c r="E54" t="str">
        <x:v>未逐校拆分</x:v>
      </x:c>
      <x:c r="F54" t="str">
        <x:v>未逐校拆分</x:v>
      </x:c>
    </x:row>
    <x:row r="55">
      <x:c r="A55" t="str">
        <x:v>江南大学</x:v>
      </x:c>
      <x:c r="B55" t="str">
        <x:v>有</x:v>
      </x:c>
      <x:c r="C55" t="str">
        <x:v>有</x:v>
      </x:c>
      <x:c r="D55" t="str">
        <x:v>有</x:v>
      </x:c>
      <x:c r="E55" t="str">
        <x:v>未逐校拆分</x:v>
      </x:c>
      <x:c r="F55" t="str">
        <x:v>未逐校拆分</x:v>
      </x:c>
    </x:row>
    <x:row r="56">
      <x:c r="A56" t="str">
        <x:v>华中师范大学</x:v>
      </x:c>
      <x:c r="B56" t="str">
        <x:v>有</x:v>
      </x:c>
      <x:c r="C56" t="str">
        <x:v>有</x:v>
      </x:c>
      <x:c r="D56" t="str">
        <x:v>有</x:v>
      </x:c>
      <x:c r="E56" t="str">
        <x:v>未逐校拆分</x:v>
      </x:c>
      <x:c r="F56" t="str">
        <x:v>未逐校拆分</x:v>
      </x:c>
    </x:row>
    <x:row r="57">
      <x:c r="A57" t="str">
        <x:v>武汉理工大学</x:v>
      </x:c>
      <x:c r="B57" t="str">
        <x:v>有</x:v>
      </x:c>
      <x:c r="C57" t="str">
        <x:v>有</x:v>
      </x:c>
      <x:c r="D57" t="str">
        <x:v>有</x:v>
      </x:c>
      <x:c r="E57" t="str">
        <x:v>未逐校拆分</x:v>
      </x:c>
      <x:c r="F57" t="str">
        <x:v>未逐校拆分</x:v>
      </x:c>
    </x:row>
    <x:row r="58">
      <x:c r="A58" t="str">
        <x:v>南京农业大学</x:v>
      </x:c>
      <x:c r="B58" t="str">
        <x:v>有</x:v>
      </x:c>
      <x:c r="C58" t="str">
        <x:v>有</x:v>
      </x:c>
      <x:c r="D58" t="str">
        <x:v>有</x:v>
      </x:c>
      <x:c r="E58" t="str">
        <x:v>未逐校拆分</x:v>
      </x:c>
      <x:c r="F58" t="str">
        <x:v>未逐校拆分</x:v>
      </x:c>
    </x:row>
    <x:row r="59">
      <x:c r="A59" t="str">
        <x:v>中国地质大学（武汉）</x:v>
      </x:c>
      <x:c r="B59" t="str">
        <x:v>有</x:v>
      </x:c>
      <x:c r="C59" t="str">
        <x:v>有</x:v>
      </x:c>
      <x:c r="D59" t="str">
        <x:v>有</x:v>
      </x:c>
      <x:c r="E59" t="str">
        <x:v>未逐校拆分</x:v>
      </x:c>
      <x:c r="F59" t="str">
        <x:v>未逐校拆分</x:v>
      </x:c>
    </x:row>
    <x:row r="60">
      <x:c r="A60" t="str">
        <x:v>北京化工大学</x:v>
      </x:c>
      <x:c r="B60" t="str">
        <x:v>有</x:v>
      </x:c>
      <x:c r="C60" t="str">
        <x:v>有</x:v>
      </x:c>
      <x:c r="D60" t="str">
        <x:v>有</x:v>
      </x:c>
      <x:c r="E60" t="str">
        <x:v>未逐校拆分</x:v>
      </x:c>
      <x:c r="F60" t="str">
        <x:v>未逐校拆分</x:v>
      </x:c>
    </x:row>
    <x:row r="61">
      <x:c r="A61" t="str">
        <x:v>南京师范大学</x:v>
      </x:c>
      <x:c r="B61" t="str">
        <x:v>有</x:v>
      </x:c>
      <x:c r="C61" t="str">
        <x:v>有</x:v>
      </x:c>
      <x:c r="D61" t="str">
        <x:v>有</x:v>
      </x:c>
      <x:c r="E61" t="str">
        <x:v>未逐校拆分</x:v>
      </x:c>
      <x:c r="F61" t="str">
        <x:v>未逐校拆分</x:v>
      </x:c>
    </x:row>
    <x:row r="62">
      <x:c r="A62" t="str">
        <x:v>暨南大学</x:v>
      </x:c>
      <x:c r="B62" t="str">
        <x:v>有</x:v>
      </x:c>
      <x:c r="C62" t="str">
        <x:v>有</x:v>
      </x:c>
      <x:c r="D62" t="str">
        <x:v>有</x:v>
      </x:c>
      <x:c r="E62" t="str">
        <x:v>未逐校拆分</x:v>
      </x:c>
      <x:c r="F62" t="str">
        <x:v>未逐校拆分</x:v>
      </x:c>
    </x:row>
    <x:row r="63">
      <x:c r="A63" t="str">
        <x:v>上海大学</x:v>
      </x:c>
      <x:c r="B63" t="str">
        <x:v>有</x:v>
      </x:c>
      <x:c r="C63" t="str">
        <x:v>缺失</x:v>
      </x:c>
      <x:c r="D63" t="str">
        <x:v>有</x:v>
      </x:c>
      <x:c r="E63" t="str">
        <x:v>未逐校拆分</x:v>
      </x:c>
      <x:c r="F63" t="str">
        <x:v>未逐校拆分</x:v>
      </x:c>
    </x:row>
    <x:row r="64">
      <x:c r="A64" t="str">
        <x:v>西南大学</x:v>
      </x:c>
      <x:c r="B64" t="str">
        <x:v>有</x:v>
      </x:c>
      <x:c r="C64" t="str">
        <x:v>有</x:v>
      </x:c>
      <x:c r="D64" t="str">
        <x:v>有</x:v>
      </x:c>
      <x:c r="E64" t="str">
        <x:v>未逐校拆分</x:v>
      </x:c>
      <x:c r="F64" t="str">
        <x:v>未逐校拆分</x:v>
      </x:c>
    </x:row>
    <x:row r="65">
      <x:c r="A65" t="str">
        <x:v>中国石油大学（北京）</x:v>
      </x:c>
      <x:c r="B65" t="str">
        <x:v>有</x:v>
      </x:c>
      <x:c r="C65" t="str">
        <x:v>有</x:v>
      </x:c>
      <x:c r="D65" t="str">
        <x:v>有</x:v>
      </x:c>
      <x:c r="E65" t="str">
        <x:v>未逐校拆分</x:v>
      </x:c>
      <x:c r="F65" t="str">
        <x:v>未逐校拆分</x:v>
      </x:c>
    </x:row>
    <x:row r="66">
      <x:c r="A66" t="str">
        <x:v>河海大学</x:v>
      </x:c>
      <x:c r="B66" t="str">
        <x:v>有</x:v>
      </x:c>
      <x:c r="C66" t="str">
        <x:v>有</x:v>
      </x:c>
      <x:c r="D66" t="str">
        <x:v>有</x:v>
      </x:c>
      <x:c r="E66" t="str">
        <x:v>未逐校拆分</x:v>
      </x:c>
      <x:c r="F66" t="str">
        <x:v>未逐校拆分</x:v>
      </x:c>
    </x:row>
    <x:row r="67">
      <x:c r="A67" t="str">
        <x:v>陕西师范大学</x:v>
      </x:c>
      <x:c r="B67" t="str">
        <x:v>有</x:v>
      </x:c>
      <x:c r="C67" t="str">
        <x:v>有</x:v>
      </x:c>
      <x:c r="D67" t="str">
        <x:v>有</x:v>
      </x:c>
      <x:c r="E67" t="str">
        <x:v>未逐校拆分</x:v>
      </x:c>
      <x:c r="F67" t="str">
        <x:v>未逐校拆分</x:v>
      </x:c>
    </x:row>
    <x:row r="68">
      <x:c r="A68" t="str">
        <x:v>北京工业大学</x:v>
      </x:c>
      <x:c r="B68" t="str">
        <x:v>有</x:v>
      </x:c>
      <x:c r="C68" t="str">
        <x:v>有</x:v>
      </x:c>
      <x:c r="D68" t="str">
        <x:v>有</x:v>
      </x:c>
      <x:c r="E68" t="str">
        <x:v>未逐校拆分</x:v>
      </x:c>
      <x:c r="F68" t="str">
        <x:v>未逐校拆分</x:v>
      </x:c>
    </x:row>
    <x:row r="69">
      <x:c r="A69" t="str">
        <x:v>深圳大学</x:v>
      </x:c>
      <x:c r="B69" t="str">
        <x:v>有</x:v>
      </x:c>
      <x:c r="C69" t="str">
        <x:v>缺失</x:v>
      </x:c>
      <x:c r="D69" t="str">
        <x:v>缺失</x:v>
      </x:c>
      <x:c r="E69" t="str">
        <x:v>未逐校拆分</x:v>
      </x:c>
      <x:c r="F69" t="str">
        <x:v>未逐校拆分</x:v>
      </x:c>
    </x:row>
    <x:row r="70">
      <x:c r="A70" t="str">
        <x:v>中国矿业大学</x:v>
      </x:c>
      <x:c r="B70" t="str">
        <x:v>有</x:v>
      </x:c>
      <x:c r="C70" t="str">
        <x:v>有</x:v>
      </x:c>
      <x:c r="D70" t="str">
        <x:v>有</x:v>
      </x:c>
      <x:c r="E70" t="str">
        <x:v>未逐校拆分</x:v>
      </x:c>
      <x:c r="F70" t="str">
        <x:v>未逐校拆分</x:v>
      </x:c>
    </x:row>
    <x:row r="71">
      <x:c r="A71" t="str">
        <x:v>浙江工业大学</x:v>
      </x:c>
      <x:c r="B71" t="str">
        <x:v>有</x:v>
      </x:c>
      <x:c r="C71" t="str">
        <x:v>缺失</x:v>
      </x:c>
      <x:c r="D71" t="str">
        <x:v>缺失</x:v>
      </x:c>
      <x:c r="E71" t="str">
        <x:v>未逐校拆分</x:v>
      </x:c>
      <x:c r="F71" t="str">
        <x:v>未逐校拆分</x:v>
      </x:c>
    </x:row>
    <x:row r="72">
      <x:c r="A72" t="str">
        <x:v>西北农林科技大学</x:v>
      </x:c>
      <x:c r="B72" t="str">
        <x:v>有</x:v>
      </x:c>
      <x:c r="C72" t="str">
        <x:v>有</x:v>
      </x:c>
      <x:c r="D72" t="str">
        <x:v>有</x:v>
      </x:c>
      <x:c r="E72" t="str">
        <x:v>未逐校拆分</x:v>
      </x:c>
      <x:c r="F72" t="str">
        <x:v>未逐校拆分</x:v>
      </x:c>
    </x:row>
    <x:row r="73">
      <x:c r="A73" t="str">
        <x:v>西北大学</x:v>
      </x:c>
      <x:c r="B73" t="str">
        <x:v>有</x:v>
      </x:c>
      <x:c r="C73" t="str">
        <x:v>有</x:v>
      </x:c>
      <x:c r="D73" t="str">
        <x:v>有</x:v>
      </x:c>
      <x:c r="E73" t="str">
        <x:v>未逐校拆分</x:v>
      </x:c>
      <x:c r="F73" t="str">
        <x:v>未逐校拆分</x:v>
      </x:c>
    </x:row>
    <x:row r="74">
      <x:c r="A74" t="str">
        <x:v>云南大学</x:v>
      </x:c>
      <x:c r="B74" t="str">
        <x:v>有</x:v>
      </x:c>
      <x:c r="C74" t="str">
        <x:v>有</x:v>
      </x:c>
      <x:c r="D74" t="str">
        <x:v>有</x:v>
      </x:c>
      <x:c r="E74" t="str">
        <x:v>未逐校拆分</x:v>
      </x:c>
      <x:c r="F74" t="str">
        <x:v>未逐校拆分</x:v>
      </x:c>
    </x:row>
    <x:row r="75">
      <x:c r="A75" t="str">
        <x:v>东华大学</x:v>
      </x:c>
      <x:c r="B75" t="str">
        <x:v>有</x:v>
      </x:c>
      <x:c r="C75" t="str">
        <x:v>有</x:v>
      </x:c>
      <x:c r="D75" t="str">
        <x:v>有</x:v>
      </x:c>
      <x:c r="E75" t="str">
        <x:v>未逐校拆分</x:v>
      </x:c>
      <x:c r="F75" t="str">
        <x:v>未逐校拆分</x:v>
      </x:c>
    </x:row>
    <x:row r="76">
      <x:c r="A76" t="str">
        <x:v>中国石油大学（华东）</x:v>
      </x:c>
      <x:c r="B76" t="str">
        <x:v>有</x:v>
      </x:c>
      <x:c r="C76" t="str">
        <x:v>有</x:v>
      </x:c>
      <x:c r="D76" t="str">
        <x:v>有</x:v>
      </x:c>
      <x:c r="E76" t="str">
        <x:v>未逐校拆分</x:v>
      </x:c>
      <x:c r="F76" t="str">
        <x:v>未逐校拆分</x:v>
      </x:c>
    </x:row>
    <x:row r="77">
      <x:c r="A77" t="str">
        <x:v>南昌大学</x:v>
      </x:c>
      <x:c r="B77" t="str">
        <x:v>有</x:v>
      </x:c>
      <x:c r="C77" t="str">
        <x:v>有</x:v>
      </x:c>
      <x:c r="D77" t="str">
        <x:v>有</x:v>
      </x:c>
      <x:c r="E77" t="str">
        <x:v>未逐校拆分</x:v>
      </x:c>
      <x:c r="F77" t="str">
        <x:v>未逐校拆分</x:v>
      </x:c>
    </x:row>
    <x:row r="78">
      <x:c r="A78" t="str">
        <x:v>中国地质大学（北京）</x:v>
      </x:c>
      <x:c r="B78" t="str">
        <x:v>有</x:v>
      </x:c>
      <x:c r="C78" t="str">
        <x:v>有</x:v>
      </x:c>
      <x:c r="D78" t="str">
        <x:v>有</x:v>
      </x:c>
      <x:c r="E78" t="str">
        <x:v>未逐校拆分</x:v>
      </x:c>
      <x:c r="F78" t="str">
        <x:v>未逐校拆分</x:v>
      </x:c>
    </x:row>
    <x:row r="79">
      <x:c r="A79" t="str">
        <x:v>中国矿业大学（北京）</x:v>
      </x:c>
      <x:c r="B79" t="str">
        <x:v>有</x:v>
      </x:c>
      <x:c r="C79" t="str">
        <x:v>有</x:v>
      </x:c>
      <x:c r="D79" t="str">
        <x:v>缺失</x:v>
      </x:c>
      <x:c r="E79" t="str">
        <x:v>未逐校拆分</x:v>
      </x:c>
      <x:c r="F79" t="str">
        <x:v>未逐校拆分</x:v>
      </x:c>
    </x:row>
    <x:row r="80">
      <x:c r="A80" t="str">
        <x:v>福州大学</x:v>
      </x:c>
      <x:c r="B80" t="str">
        <x:v>有</x:v>
      </x:c>
      <x:c r="C80" t="str">
        <x:v>有</x:v>
      </x:c>
      <x:c r="D80" t="str">
        <x:v>有</x:v>
      </x:c>
      <x:c r="E80" t="str">
        <x:v>未逐校拆分</x:v>
      </x:c>
      <x:c r="F80" t="str">
        <x:v>未逐校拆分</x:v>
      </x:c>
    </x:row>
    <x:row r="81">
      <x:c r="A81" t="str">
        <x:v>宁波大学</x:v>
      </x:c>
      <x:c r="B81" t="str">
        <x:v>有</x:v>
      </x:c>
      <x:c r="C81" t="str">
        <x:v>有</x:v>
      </x:c>
      <x:c r="D81" t="str">
        <x:v>有</x:v>
      </x:c>
      <x:c r="E81" t="str">
        <x:v>未逐校拆分</x:v>
      </x:c>
      <x:c r="F81" t="str">
        <x:v>未逐校拆分</x:v>
      </x:c>
    </x:row>
    <x:row r="82">
      <x:c r="A82" t="str">
        <x:v>华南师范大学</x:v>
      </x:c>
      <x:c r="B82" t="str">
        <x:v>有</x:v>
      </x:c>
      <x:c r="C82" t="str">
        <x:v>有</x:v>
      </x:c>
      <x:c r="D82" t="str">
        <x:v>有</x:v>
      </x:c>
      <x:c r="E82" t="str">
        <x:v>未逐校拆分</x:v>
      </x:c>
      <x:c r="F82" t="str">
        <x:v>未逐校拆分</x:v>
      </x:c>
    </x:row>
    <x:row r="83">
      <x:c r="A83" t="str">
        <x:v>合肥工业大学</x:v>
      </x:c>
      <x:c r="B83" t="str">
        <x:v>有</x:v>
      </x:c>
      <x:c r="C83" t="str">
        <x:v>有</x:v>
      </x:c>
      <x:c r="D83" t="str">
        <x:v>有</x:v>
      </x:c>
      <x:c r="E83" t="str">
        <x:v>未逐校拆分</x:v>
      </x:c>
      <x:c r="F83" t="str">
        <x:v>未逐校拆分</x:v>
      </x:c>
    </x:row>
    <x:row r="84">
      <x:c r="A84" t="str">
        <x:v>江苏大学</x:v>
      </x:c>
      <x:c r="B84" t="str">
        <x:v>有</x:v>
      </x:c>
      <x:c r="C84" t="str">
        <x:v>缺失</x:v>
      </x:c>
      <x:c r="D84" t="str">
        <x:v>缺失</x:v>
      </x:c>
      <x:c r="E84" t="str">
        <x:v>未逐校拆分</x:v>
      </x:c>
      <x:c r="F84" t="str">
        <x:v>未逐校拆分</x:v>
      </x:c>
    </x:row>
    <x:row r="85">
      <x:c r="A85" t="str">
        <x:v>南京邮电大学</x:v>
      </x:c>
      <x:c r="B85" t="str">
        <x:v>有</x:v>
      </x:c>
      <x:c r="C85" t="str">
        <x:v>有</x:v>
      </x:c>
      <x:c r="D85" t="str">
        <x:v>缺失</x:v>
      </x:c>
      <x:c r="E85" t="str">
        <x:v>未逐校拆分</x:v>
      </x:c>
      <x:c r="F85" t="str">
        <x:v>未逐校拆分</x:v>
      </x:c>
    </x:row>
    <x:row r="86">
      <x:c r="A86" t="str">
        <x:v>北京林业大学</x:v>
      </x:c>
      <x:c r="B86" t="str">
        <x:v>有</x:v>
      </x:c>
      <x:c r="C86" t="str">
        <x:v>有</x:v>
      </x:c>
      <x:c r="D86" t="str">
        <x:v>有</x:v>
      </x:c>
      <x:c r="E86" t="str">
        <x:v>未逐校拆分</x:v>
      </x:c>
      <x:c r="F86" t="str">
        <x:v>未逐校拆分</x:v>
      </x:c>
    </x:row>
    <x:row r="87">
      <x:c r="A87" t="str">
        <x:v>华北电力大学</x:v>
      </x:c>
      <x:c r="B87" t="str">
        <x:v>有</x:v>
      </x:c>
      <x:c r="C87" t="str">
        <x:v>有</x:v>
      </x:c>
      <x:c r="D87" t="str">
        <x:v>有</x:v>
      </x:c>
      <x:c r="E87" t="str">
        <x:v>未逐校拆分</x:v>
      </x:c>
      <x:c r="F87" t="str">
        <x:v>未逐校拆分</x:v>
      </x:c>
    </x:row>
    <x:row r="88">
      <x:c r="A88" t="str">
        <x:v>贵州大学</x:v>
      </x:c>
      <x:c r="B88" t="str">
        <x:v>有</x:v>
      </x:c>
      <x:c r="C88" t="str">
        <x:v>有</x:v>
      </x:c>
      <x:c r="D88" t="str">
        <x:v>有</x:v>
      </x:c>
      <x:c r="E88" t="str">
        <x:v>未逐校拆分</x:v>
      </x:c>
      <x:c r="F88" t="str">
        <x:v>未逐校拆分</x:v>
      </x:c>
    </x:row>
    <x:row r="89">
      <x:c r="A89" t="str">
        <x:v>广西大学</x:v>
      </x:c>
      <x:c r="B89" t="str">
        <x:v>有</x:v>
      </x:c>
      <x:c r="C89" t="str">
        <x:v>有</x:v>
      </x:c>
      <x:c r="D89" t="str">
        <x:v>有</x:v>
      </x:c>
      <x:c r="E89" t="str">
        <x:v>未逐校拆分</x:v>
      </x:c>
      <x:c r="F89" t="str">
        <x:v>未逐校拆分</x:v>
      </x:c>
    </x:row>
    <x:row r="90">
      <x:c r="A90" t="str">
        <x:v>海南大学</x:v>
      </x:c>
      <x:c r="B90" t="str">
        <x:v>有</x:v>
      </x:c>
      <x:c r="C90" t="str">
        <x:v>有</x:v>
      </x:c>
      <x:c r="D90" t="str">
        <x:v>有</x:v>
      </x:c>
      <x:c r="E90" t="str">
        <x:v>未逐校拆分</x:v>
      </x:c>
      <x:c r="F90" t="str">
        <x:v>未逐校拆分</x:v>
      </x:c>
    </x:row>
    <x:row r="91">
      <x:c r="A91" t="str">
        <x:v>南京工业大学</x:v>
      </x:c>
      <x:c r="B91" t="str">
        <x:v>有</x:v>
      </x:c>
      <x:c r="C91" t="str">
        <x:v>缺失</x:v>
      </x:c>
      <x:c r="D91" t="str">
        <x:v>缺失</x:v>
      </x:c>
      <x:c r="E91" t="str">
        <x:v>未逐校拆分</x:v>
      </x:c>
      <x:c r="F91" t="str">
        <x:v>未逐校拆分</x:v>
      </x:c>
    </x:row>
    <x:row r="92">
      <x:c r="A92" t="str">
        <x:v>长安大学</x:v>
      </x:c>
      <x:c r="B92" t="str">
        <x:v>有</x:v>
      </x:c>
      <x:c r="C92" t="str">
        <x:v>有</x:v>
      </x:c>
      <x:c r="D92" t="str">
        <x:v>有</x:v>
      </x:c>
      <x:c r="E92" t="str">
        <x:v>未逐校拆分</x:v>
      </x:c>
      <x:c r="F92" t="str">
        <x:v>未逐校拆分</x:v>
      </x:c>
    </x:row>
    <x:row r="93">
      <x:c r="A93" t="str">
        <x:v>福建师范大学</x:v>
      </x:c>
      <x:c r="B93" t="str">
        <x:v>有</x:v>
      </x:c>
      <x:c r="C93" t="str">
        <x:v>缺失</x:v>
      </x:c>
      <x:c r="D93" t="str">
        <x:v>缺失</x:v>
      </x:c>
      <x:c r="E93" t="str">
        <x:v>未逐校拆分</x:v>
      </x:c>
      <x:c r="F93" t="str">
        <x:v>未逐校拆分</x:v>
      </x:c>
    </x:row>
    <x:row r="94">
      <x:c r="A94" t="str">
        <x:v>浙江师范大学</x:v>
      </x:c>
      <x:c r="B94" t="str">
        <x:v>有</x:v>
      </x:c>
      <x:c r="C94" t="str">
        <x:v>缺失</x:v>
      </x:c>
      <x:c r="D94" t="str">
        <x:v>缺失</x:v>
      </x:c>
      <x:c r="E94" t="str">
        <x:v>未逐校拆分</x:v>
      </x:c>
      <x:c r="F94" t="str">
        <x:v>未逐校拆分</x:v>
      </x:c>
    </x:row>
    <x:row r="95">
      <x:c r="A95" t="str">
        <x:v>湖南师范大学</x:v>
      </x:c>
      <x:c r="B95" t="str">
        <x:v>有</x:v>
      </x:c>
      <x:c r="C95" t="str">
        <x:v>有</x:v>
      </x:c>
      <x:c r="D95" t="str">
        <x:v>有</x:v>
      </x:c>
      <x:c r="E95" t="str">
        <x:v>未逐校拆分</x:v>
      </x:c>
      <x:c r="F95" t="str">
        <x:v>未逐校拆分</x:v>
      </x:c>
    </x:row>
    <x:row r="96">
      <x:c r="A96" t="str">
        <x:v>南京林业大学</x:v>
      </x:c>
      <x:c r="B96" t="str">
        <x:v>有</x:v>
      </x:c>
      <x:c r="C96" t="str">
        <x:v>有</x:v>
      </x:c>
      <x:c r="D96" t="str">
        <x:v>缺失</x:v>
      </x:c>
      <x:c r="E96" t="str">
        <x:v>未逐校拆分</x:v>
      </x:c>
      <x:c r="F96" t="str">
        <x:v>未逐校拆分</x:v>
      </x:c>
    </x:row>
    <x:row r="97">
      <x:c r="A97" t="str">
        <x:v>扬州大学</x:v>
      </x:c>
      <x:c r="B97" t="str">
        <x:v>有</x:v>
      </x:c>
      <x:c r="C97" t="str">
        <x:v>缺失</x:v>
      </x:c>
      <x:c r="D97" t="str">
        <x:v>缺失</x:v>
      </x:c>
      <x:c r="E97" t="str">
        <x:v>未逐校拆分</x:v>
      </x:c>
      <x:c r="F97" t="str">
        <x:v>未逐校拆分</x:v>
      </x:c>
    </x:row>
    <x:row r="98">
      <x:c r="A98" t="str">
        <x:v>河南大学</x:v>
      </x:c>
      <x:c r="B98" t="str">
        <x:v>有</x:v>
      </x:c>
      <x:c r="C98" t="str">
        <x:v>有</x:v>
      </x:c>
      <x:c r="D98" t="str">
        <x:v>有</x:v>
      </x:c>
      <x:c r="E98" t="str">
        <x:v>未逐校拆分</x:v>
      </x:c>
      <x:c r="F98" t="str">
        <x:v>未逐校拆分</x:v>
      </x:c>
    </x:row>
    <x:row r="99">
      <x:c r="A99" t="str">
        <x:v>广东工业大学</x:v>
      </x:c>
      <x:c r="B99" t="str">
        <x:v>有</x:v>
      </x:c>
      <x:c r="C99" t="str">
        <x:v>缺失</x:v>
      </x:c>
      <x:c r="D99" t="str">
        <x:v>缺失</x:v>
      </x:c>
      <x:c r="E99" t="str">
        <x:v>未逐校拆分</x:v>
      </x:c>
      <x:c r="F99" t="str">
        <x:v>未逐校拆分</x:v>
      </x:c>
    </x:row>
    <x:row r="100">
      <x:c r="A100" t="str">
        <x:v>太原理工大学</x:v>
      </x:c>
      <x:c r="B100" t="str">
        <x:v>有</x:v>
      </x:c>
      <x:c r="C100" t="str">
        <x:v>有</x:v>
      </x:c>
      <x:c r="D100" t="str">
        <x:v>有</x:v>
      </x:c>
      <x:c r="E100" t="str">
        <x:v>未逐校拆分</x:v>
      </x:c>
      <x:c r="F100" t="str">
        <x:v>未逐校拆分</x:v>
      </x:c>
    </x:row>
    <x:row r="101">
      <x:c r="A101" t="str">
        <x:v>南京信息工程大学</x:v>
      </x:c>
      <x:c r="B101" t="str">
        <x:v>有</x:v>
      </x:c>
      <x:c r="C101" t="str">
        <x:v>有</x:v>
      </x:c>
      <x:c r="D101" t="str">
        <x:v>缺失</x:v>
      </x:c>
      <x:c r="E101" t="str">
        <x:v>未逐校拆分</x:v>
      </x:c>
      <x:c r="F101" t="str">
        <x:v>未逐校拆分</x:v>
      </x:c>
    </x:row>
    <x:row r="102">
      <x:c r="A102" t="str">
        <x:v>杭州电子科技大学</x:v>
      </x:c>
      <x:c r="B102" t="str">
        <x:v>有</x:v>
      </x:c>
      <x:c r="C102" t="str">
        <x:v>缺失</x:v>
      </x:c>
      <x:c r="D102" t="str">
        <x:v>缺失</x:v>
      </x:c>
      <x:c r="E102" t="str">
        <x:v>未逐校拆分</x:v>
      </x:c>
      <x:c r="F102" t="str">
        <x:v>未逐校拆分</x:v>
      </x:c>
    </x:row>
    <x:row r="103">
      <x:c r="A103" t="str">
        <x:v>首都师范大学</x:v>
      </x:c>
      <x:c r="B103" t="str">
        <x:v>有</x:v>
      </x:c>
      <x:c r="C103" t="str">
        <x:v>有</x:v>
      </x:c>
      <x:c r="D103" t="str">
        <x:v>有</x:v>
      </x:c>
      <x:c r="E103" t="str">
        <x:v>未逐校拆分</x:v>
      </x:c>
      <x:c r="F103" t="str">
        <x:v>未逐校拆分</x:v>
      </x:c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10" hidden="0" customWidth="1"/>
    <x:col min="4" max="4" width="16" hidden="0" customWidth="1"/>
    <x:col min="5" max="5" width="12" hidden="0" customWidth="1"/>
    <x:col min="6" max="6" width="22" hidden="0" customWidth="1"/>
    <x:col min="7" max="7" width="12" hidden="0" customWidth="1"/>
    <x:col min="8" max="8" width="15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4" customHeight="1">
      <x:c r="A1" s="5" t="str">
        <x:v>中国Top100大学财务研究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11" t="str">
        <x:v>基准：2026软科中国大学排名主榜Top100 | 数据截至2026-08-13 | 金额单位：亿元人民币 | 黄色单元格提示关键口径风险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65" t="str">
        <x:v>核心指标</x:v>
      </x:c>
      <x:c r="B4" s="65"/>
      <x:c r="C4" s="82"/>
      <x:c r="E4" s="65" t="str">
        <x:v>2026预算规模Top15（Top100样本内）</x:v>
      </x:c>
      <x:c r="F4" s="65"/>
      <x:c r="G4" s="65"/>
      <x:c r="H4" s="65"/>
      <x:c r="T4" s="19" t="str">
        <x:v>学校</x:v>
      </x:c>
      <x:c r="U4" s="19" t="str">
        <x:v>2026预算(亿元)</x:v>
      </x:c>
      <x:c r="W4" s="19" t="str">
        <x:v>省份</x:v>
      </x:c>
      <x:c r="X4" s="19" t="str">
        <x:v>预算合计(亿元)</x:v>
      </x:c>
    </x:row>
    <x:row r="5">
      <x:c r="A5" s="71" t="str">
        <x:v>Top100样本数</x:v>
      </x:c>
      <x:c r="B5" s="75" t="n">
        <x:f>COUNTA(Top100_2026!B5:B104)</x:f>
        <x:v>100</x:v>
      </x:c>
      <x:c r="C5" s="82" t="str">
        <x:v>所</x:v>
      </x:c>
      <x:c r="E5" s="19" t="str">
        <x:v>预算名次</x:v>
      </x:c>
      <x:c r="F5" s="19" t="str">
        <x:v>学校</x:v>
      </x:c>
      <x:c r="G5" s="19" t="str">
        <x:v>软科名次</x:v>
      </x:c>
      <x:c r="H5" s="19" t="str">
        <x:v>预算(亿元)</x:v>
      </x:c>
      <x:c r="T5" t="str">
        <x:v>清华大学</x:v>
      </x:c>
      <x:c r="U5" s="89" t="n">
        <x:v>403.93</x:v>
      </x:c>
      <x:c r="W5" t="str">
        <x:v>北京</x:v>
      </x:c>
      <x:c r="X5" s="89" t="n">
        <x:v>2173.17</x:v>
      </x:c>
    </x:row>
    <x:row r="6">
      <x:c r="A6" s="71" t="str">
        <x:v>2026总预算合计</x:v>
      </x:c>
      <x:c r="B6" s="78" t="n">
        <x:f>SUM(Top100_2026!F5:F104)</x:f>
        <x:v>9230.530000000002</x:v>
      </x:c>
      <x:c r="C6" s="82" t="str">
        <x:v>亿元</x:v>
      </x:c>
      <x:c r="E6" s="26" t="n">
        <x:v>1</x:v>
      </x:c>
      <x:c r="F6" s="26" t="str">
        <x:v>清华大学</x:v>
      </x:c>
      <x:c r="G6" s="26" t="n">
        <x:v>1</x:v>
      </x:c>
      <x:c r="H6" s="34" t="n">
        <x:v>403.93</x:v>
      </x:c>
      <x:c r="T6" t="str">
        <x:v>浙江大学</x:v>
      </x:c>
      <x:c r="U6" s="89" t="n">
        <x:v>363.13</x:v>
      </x:c>
      <x:c r="W6" t="str">
        <x:v>江苏</x:v>
      </x:c>
      <x:c r="X6" s="89" t="n">
        <x:v>1006.22</x:v>
      </x:c>
    </x:row>
    <x:row r="7">
      <x:c r="A7" s="71" t="str">
        <x:v>平均预算</x:v>
      </x:c>
      <x:c r="B7" s="78" t="n">
        <x:f>AVERAGE(Top100_2026!F5:F104)</x:f>
        <x:v>92.30530000000003</x:v>
      </x:c>
      <x:c r="C7" s="82" t="str">
        <x:v>亿元</x:v>
      </x:c>
      <x:c r="E7" s="26" t="n">
        <x:v>2</x:v>
      </x:c>
      <x:c r="F7" s="26" t="str">
        <x:v>浙江大学</x:v>
      </x:c>
      <x:c r="G7" s="26" t="n">
        <x:v>3</x:v>
      </x:c>
      <x:c r="H7" s="34" t="n">
        <x:v>363.13</x:v>
      </x:c>
      <x:c r="T7" t="str">
        <x:v>上海交通大学</x:v>
      </x:c>
      <x:c r="U7" s="89" t="n">
        <x:v>304.11</x:v>
      </x:c>
      <x:c r="W7" t="str">
        <x:v>上海</x:v>
      </x:c>
      <x:c r="X7" s="89" t="n">
        <x:v>940.6899999999999</x:v>
      </x:c>
    </x:row>
    <x:row r="8">
      <x:c r="A8" s="71" t="str">
        <x:v>中位数预算</x:v>
      </x:c>
      <x:c r="B8" s="78" t="n">
        <x:f>MEDIAN(Top100_2026!F5:F104)</x:f>
        <x:v>66.71000000000001</x:v>
      </x:c>
      <x:c r="C8" s="82" t="str">
        <x:v>亿元</x:v>
      </x:c>
      <x:c r="E8" s="26" t="n">
        <x:v>3</x:v>
      </x:c>
      <x:c r="F8" s="26" t="str">
        <x:v>上海交通大学</x:v>
      </x:c>
      <x:c r="G8" s="26" t="n">
        <x:v>4</x:v>
      </x:c>
      <x:c r="H8" s="34" t="n">
        <x:v>304.11</x:v>
      </x:c>
      <x:c r="T8" t="str">
        <x:v>北京大学</x:v>
      </x:c>
      <x:c r="U8" s="89" t="n">
        <x:v>280.49</x:v>
      </x:c>
      <x:c r="W8" t="str">
        <x:v>陕西</x:v>
      </x:c>
      <x:c r="X8" s="89" t="n">
        <x:v>648.73</x:v>
      </x:c>
    </x:row>
    <x:row r="9">
      <x:c r="A9" s="71" t="str">
        <x:v>Top10预算集中度</x:v>
      </x:c>
      <x:c r="B9" s="80" t="n">
        <x:f>SUMIF(Top100_2026!G5:G104,"&lt;=10",Top100_2026!F5:F104)/SUM(Top100_2026!F5:F104)</x:f>
        <x:v>0.277344854520813</x:v>
      </x:c>
      <x:c r="C9" s="82" t="str">
        <x:v>%</x:v>
      </x:c>
      <x:c r="E9" s="26" t="n">
        <x:v>4</x:v>
      </x:c>
      <x:c r="F9" s="26" t="str">
        <x:v>北京大学</x:v>
      </x:c>
      <x:c r="G9" s="26" t="n">
        <x:v>2</x:v>
      </x:c>
      <x:c r="H9" s="34" t="n">
        <x:v>280.49</x:v>
      </x:c>
      <x:c r="T9" t="str">
        <x:v>哈尔滨工业大学</x:v>
      </x:c>
      <x:c r="U9" s="89" t="n">
        <x:v>258.84</x:v>
      </x:c>
      <x:c r="W9" t="str">
        <x:v>广东</x:v>
      </x:c>
      <x:c r="X9" s="89" t="n">
        <x:v>611.26</x:v>
      </x:c>
    </x:row>
    <x:row r="10">
      <x:c r="A10" s="71" t="str">
        <x:v>非双一流Top100</x:v>
      </x:c>
      <x:c r="B10" s="75" t="n">
        <x:f>COUNTIF(Top100_2026!E5:E104,"否")</x:f>
        <x:v>9</x:v>
      </x:c>
      <x:c r="C10" s="82" t="str">
        <x:v>所</x:v>
      </x:c>
      <x:c r="E10" s="26" t="n">
        <x:v>5</x:v>
      </x:c>
      <x:c r="F10" s="26" t="str">
        <x:v>哈尔滨工业大学</x:v>
      </x:c>
      <x:c r="G10" s="26" t="n">
        <x:v>12</x:v>
      </x:c>
      <x:c r="H10" s="34" t="n">
        <x:v>258.84</x:v>
      </x:c>
      <x:c r="T10" t="str">
        <x:v>中山大学</x:v>
      </x:c>
      <x:c r="U10" s="89" t="n">
        <x:v>213.85</x:v>
      </x:c>
      <x:c r="W10" t="str">
        <x:v>湖北</x:v>
      </x:c>
      <x:c r="X10" s="89" t="n">
        <x:v>557.96</x:v>
      </x:c>
    </x:row>
    <x:row r="11">
      <x:c r="A11" s="71" t="str">
        <x:v>2023历史覆盖</x:v>
      </x:c>
      <x:c r="B11" s="75" t="n">
        <x:f>COUNT(History_2023_2026!C5:C104)</x:f>
        <x:v>88</x:v>
      </x:c>
      <x:c r="C11" s="82" t="str">
        <x:v>所</x:v>
      </x:c>
      <x:c r="E11" s="26" t="n">
        <x:v>6</x:v>
      </x:c>
      <x:c r="F11" s="26" t="str">
        <x:v>中山大学</x:v>
      </x:c>
      <x:c r="G11" s="26" t="n">
        <x:v>13</x:v>
      </x:c>
      <x:c r="H11" s="34" t="n">
        <x:v>213.85</x:v>
      </x:c>
      <x:c r="T11" t="str">
        <x:v>复旦大学</x:v>
      </x:c>
      <x:c r="U11" s="89" t="n">
        <x:v>199.39</x:v>
      </x:c>
      <x:c r="W11" t="str">
        <x:v>浙江</x:v>
      </x:c>
      <x:c r="X11" s="89" t="n">
        <x:v>510.61</x:v>
      </x:c>
    </x:row>
    <x:row r="12">
      <x:c r="A12" s="83" t="str">
        <x:v>2024决算覆盖</x:v>
      </x:c>
      <x:c r="B12" s="84" t="n">
        <x:f>COUNT(History_2023_2026!G5:G104)</x:f>
        <x:v>87</x:v>
      </x:c>
      <x:c r="C12" s="85" t="str">
        <x:v>所</x:v>
      </x:c>
      <x:c r="E12" s="26" t="n">
        <x:v>7</x:v>
      </x:c>
      <x:c r="F12" s="26" t="str">
        <x:v>复旦大学</x:v>
      </x:c>
      <x:c r="G12" s="26" t="n">
        <x:v>5</x:v>
      </x:c>
      <x:c r="H12" s="34" t="n">
        <x:v>199.39</x:v>
      </x:c>
      <x:c r="T12" t="str">
        <x:v>西安交通大学</x:v>
      </x:c>
      <x:c r="U12" s="89" t="n">
        <x:v>185.56</x:v>
      </x:c>
      <x:c r="W12" t="str">
        <x:v>黑龙江</x:v>
      </x:c>
      <x:c r="X12" s="89" t="n">
        <x:v>360.38</x:v>
      </x:c>
    </x:row>
    <x:row r="13">
      <x:c r="E13" s="26" t="n">
        <x:v>8</x:v>
      </x:c>
      <x:c r="F13" s="26" t="str">
        <x:v>西安交通大学</x:v>
      </x:c>
      <x:c r="G13" s="26" t="n">
        <x:v>10</x:v>
      </x:c>
      <x:c r="H13" s="34" t="n">
        <x:v>185.56</x:v>
      </x:c>
      <x:c r="T13" t="str">
        <x:v>北京理工大学</x:v>
      </x:c>
      <x:c r="U13" s="89" t="n">
        <x:v>179.11</x:v>
      </x:c>
      <x:c r="W13" t="str">
        <x:v>四川</x:v>
      </x:c>
      <x:c r="X13" s="89" t="n">
        <x:v>321.14</x:v>
      </x:c>
    </x:row>
    <x:row r="14">
      <x:c r="E14" s="26" t="n">
        <x:v>9</x:v>
      </x:c>
      <x:c r="F14" s="26" t="str">
        <x:v>北京理工大学</x:v>
      </x:c>
      <x:c r="G14" s="26" t="n">
        <x:v>14</x:v>
      </x:c>
      <x:c r="H14" s="34" t="n">
        <x:v>179.11</x:v>
      </x:c>
      <x:c r="T14" t="str">
        <x:v>同济大学</x:v>
      </x:c>
      <x:c r="U14" s="89" t="n">
        <x:v>171.63</x:v>
      </x:c>
      <x:c r="W14" t="str">
        <x:v>山东</x:v>
      </x:c>
      <x:c r="X14" s="89" t="n">
        <x:v>280.14</x:v>
      </x:c>
    </x:row>
    <x:row r="15">
      <x:c r="A15" s="65" t="str">
        <x:v>地域预算集中度 Top10</x:v>
      </x:c>
      <x:c r="B15" s="65"/>
      <x:c r="C15" s="65"/>
      <x:c r="D15" s="65"/>
      <x:c r="E15" s="26" t="n">
        <x:v>10</x:v>
      </x:c>
      <x:c r="F15" s="26" t="str">
        <x:v>同济大学</x:v>
      </x:c>
      <x:c r="G15" s="26" t="n">
        <x:v>18</x:v>
      </x:c>
      <x:c r="H15" s="34" t="n">
        <x:v>171.63</x:v>
      </x:c>
      <x:c r="T15" t="str">
        <x:v>北京航空航天大学</x:v>
      </x:c>
      <x:c r="U15" s="89" t="n">
        <x:v>170.19</x:v>
      </x:c>
    </x:row>
    <x:row r="16">
      <x:c r="A16" s="19" t="str">
        <x:v>省份</x:v>
      </x:c>
      <x:c r="B16" s="19" t="str">
        <x:v>Top100学校数</x:v>
      </x:c>
      <x:c r="C16" s="19" t="str">
        <x:v>预算合计</x:v>
      </x:c>
      <x:c r="D16" s="19" t="str">
        <x:v>占样本总预算</x:v>
      </x:c>
      <x:c r="E16" s="26" t="n">
        <x:v>11</x:v>
      </x:c>
      <x:c r="F16" s="26" t="str">
        <x:v>北京航空航天大学</x:v>
      </x:c>
      <x:c r="G16" s="26" t="n">
        <x:v>11</x:v>
      </x:c>
      <x:c r="H16" s="34" t="n">
        <x:v>170.19</x:v>
      </x:c>
      <x:c r="T16" t="str">
        <x:v>东南大学</x:v>
      </x:c>
      <x:c r="U16" s="89" t="n">
        <x:v>167.91</x:v>
      </x:c>
    </x:row>
    <x:row r="17">
      <x:c r="A17" t="str">
        <x:v>北京</x:v>
      </x:c>
      <x:c r="B17" t="n">
        <x:v>18</x:v>
      </x:c>
      <x:c r="C17" s="89" t="n">
        <x:v>2173.17</x:v>
      </x:c>
      <x:c r="D17" s="91" t="n">
        <x:f>C17/SUM(Top100_2026!F5:F104)</x:f>
        <x:v>0.23543285163473815</x:v>
      </x:c>
      <x:c r="E17" s="26" t="n">
        <x:v>12</x:v>
      </x:c>
      <x:c r="F17" s="26" t="str">
        <x:v>东南大学</x:v>
      </x:c>
      <x:c r="G17" s="26" t="n">
        <x:v>15</x:v>
      </x:c>
      <x:c r="H17" s="34" t="n">
        <x:v>167.91</x:v>
      </x:c>
      <x:c r="T17" t="str">
        <x:v>山东大学</x:v>
      </x:c>
      <x:c r="U17" s="89" t="n">
        <x:v>165.76</x:v>
      </x:c>
    </x:row>
    <x:row r="18">
      <x:c r="A18" t="str">
        <x:v>江苏</x:v>
      </x:c>
      <x:c r="B18" t="n">
        <x:v>16</x:v>
      </x:c>
      <x:c r="C18" s="89" t="n">
        <x:v>1006.22</x:v>
      </x:c>
      <x:c r="D18" s="91" t="n">
        <x:f>C18/SUM(Top100_2026!F5:F104)</x:f>
        <x:v>0.10900999184228856</x:v>
      </x:c>
      <x:c r="E18" s="26" t="n">
        <x:v>13</x:v>
      </x:c>
      <x:c r="F18" s="26" t="str">
        <x:v>山东大学</x:v>
      </x:c>
      <x:c r="G18" s="26" t="n">
        <x:v>22</x:v>
      </x:c>
      <x:c r="H18" s="34" t="n">
        <x:v>165.76</x:v>
      </x:c>
      <x:c r="T18" t="str">
        <x:v>西北工业大学</x:v>
      </x:c>
      <x:c r="U18" s="89" t="n">
        <x:v>158.21</x:v>
      </x:c>
    </x:row>
    <x:row r="19">
      <x:c r="A19" t="str">
        <x:v>上海</x:v>
      </x:c>
      <x:c r="B19" t="n">
        <x:v>8</x:v>
      </x:c>
      <x:c r="C19" s="89" t="n">
        <x:v>940.6899999999999</x:v>
      </x:c>
      <x:c r="D19" s="91" t="n">
        <x:f>C19/SUM(Top100_2026!F5:F104)</x:f>
        <x:v>0.10191072451961043</x:v>
      </x:c>
      <x:c r="E19" s="26" t="n">
        <x:v>14</x:v>
      </x:c>
      <x:c r="F19" s="26" t="str">
        <x:v>西北工业大学</x:v>
      </x:c>
      <x:c r="G19" s="26" t="n">
        <x:v>23</x:v>
      </x:c>
      <x:c r="H19" s="34" t="n">
        <x:v>158.21</x:v>
      </x:c>
      <x:c r="T19" t="str">
        <x:v>华中科技大学</x:v>
      </x:c>
      <x:c r="U19" s="89" t="n">
        <x:v>157.82</x:v>
      </x:c>
    </x:row>
    <x:row r="20">
      <x:c r="A20" t="str">
        <x:v>陕西</x:v>
      </x:c>
      <x:c r="B20" t="n">
        <x:v>7</x:v>
      </x:c>
      <x:c r="C20" s="89" t="n">
        <x:v>648.73</x:v>
      </x:c>
      <x:c r="D20" s="91" t="n">
        <x:f>C20/SUM(Top100_2026!F5:F104)</x:f>
        <x:v>0.07028090478011553</x:v>
      </x:c>
      <x:c r="E20" s="26" t="n">
        <x:v>15</x:v>
      </x:c>
      <x:c r="F20" s="26" t="str">
        <x:v>华中科技大学</x:v>
      </x:c>
      <x:c r="G20" s="26" t="n">
        <x:v>9</x:v>
      </x:c>
      <x:c r="H20" s="34" t="n">
        <x:v>157.82</x:v>
      </x:c>
    </x:row>
    <x:row r="21">
      <x:c r="A21" t="str">
        <x:v>广东</x:v>
      </x:c>
      <x:c r="B21" t="n">
        <x:v>7</x:v>
      </x:c>
      <x:c r="C21" s="89" t="n">
        <x:v>611.26</x:v>
      </x:c>
      <x:c r="D21" s="91" t="n">
        <x:f>C21/SUM(Top100_2026!F5:F104)</x:f>
        <x:v>0.0662215495751598</x:v>
      </x:c>
    </x:row>
    <x:row r="22">
      <x:c r="A22" t="str">
        <x:v>湖北</x:v>
      </x:c>
      <x:c r="B22" t="n">
        <x:v>6</x:v>
      </x:c>
      <x:c r="C22" s="89" t="n">
        <x:v>557.96</x:v>
      </x:c>
      <x:c r="D22" s="91" t="n">
        <x:f>C22/SUM(Top100_2026!F5:F104)</x:f>
        <x:v>0.06044723325746191</x:v>
      </x:c>
    </x:row>
    <x:row r="23">
      <x:c r="A23" t="str">
        <x:v>浙江</x:v>
      </x:c>
      <x:c r="B23" t="n">
        <x:v>5</x:v>
      </x:c>
      <x:c r="C23" s="89" t="n">
        <x:v>510.61</x:v>
      </x:c>
      <x:c r="D23" s="91" t="n">
        <x:f>C23/SUM(Top100_2026!F5:F104)</x:f>
        <x:v>0.05531751697898169</x:v>
      </x:c>
    </x:row>
    <x:row r="24">
      <x:c r="A24" t="str">
        <x:v>黑龙江</x:v>
      </x:c>
      <x:c r="B24" t="n">
        <x:v>2</x:v>
      </x:c>
      <x:c r="C24" s="89" t="n">
        <x:v>360.38</x:v>
      </x:c>
      <x:c r="D24" s="91" t="n">
        <x:f>C24/SUM(Top100_2026!F5:F104)</x:f>
        <x:v>0.03904217850979304</x:v>
      </x:c>
    </x:row>
    <x:row r="25">
      <x:c r="A25" t="str">
        <x:v>四川</x:v>
      </x:c>
      <x:c r="B25" t="n">
        <x:v>3</x:v>
      </x:c>
      <x:c r="C25" s="89" t="n">
        <x:v>321.14</x:v>
      </x:c>
      <x:c r="D25" s="91" t="n">
        <x:f>C25/SUM(Top100_2026!F5:F104)</x:f>
        <x:v>0.03479106833518768</x:v>
      </x:c>
    </x:row>
    <x:row r="26">
      <x:c r="A26" t="str">
        <x:v>山东</x:v>
      </x:c>
      <x:c r="B26" t="n">
        <x:v>3</x:v>
      </x:c>
      <x:c r="C26" s="89" t="n">
        <x:v>280.14</x:v>
      </x:c>
      <x:c r="D26" s="91" t="n">
        <x:f>C26/SUM(Top100_2026!F5:F104)</x:f>
        <x:v>0.03034928655234314</x:v>
      </x:c>
    </x:row>
    <x:row r="29">
      <x:c r="A29" s="65" t="str">
        <x:v>解读要点</x:v>
      </x:c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</x:row>
    <x:row r="30" ht="30" customHeight="1">
      <x:c r="A30" s="105" t="str">
        <x:v>1. 预算规模与综合排名高度相关，但不是一一对应：工科/大科学装置密集型大学常表现出更高资金强度。</x:v>
      </x:c>
      <x:c r="B30" s="105"/>
      <x:c r="C30" s="105"/>
      <x:c r="D30" s="105"/>
      <x:c r="E30" s="105"/>
      <x:c r="F30" s="105"/>
      <x:c r="G30" s="105"/>
      <x:c r="H30" s="105"/>
      <x:c r="I30" s="105"/>
      <x:c r="J30" s="105"/>
      <x:c r="K30" s="105"/>
      <x:c r="L30" s="105"/>
    </x:row>
    <x:row r="31" ht="30" customHeight="1">
      <x:c r="A31" s="107" t="str">
        <x:v>2. 2026 Top100样本总预算约为九千亿元量级；北京、江苏、上海是Top100高校数量和预算盘子最集中的地区。</x:v>
      </x:c>
      <x:c r="B31" s="107"/>
      <x:c r="C31" s="107"/>
      <x:c r="D31" s="107"/>
      <x:c r="E31" s="107"/>
      <x:c r="F31" s="107"/>
      <x:c r="G31" s="107"/>
      <x:c r="H31" s="107"/>
      <x:c r="I31" s="107"/>
      <x:c r="J31" s="107"/>
      <x:c r="K31" s="107"/>
      <x:c r="L31" s="107"/>
    </x:row>
    <x:row r="32" ht="30" customHeight="1">
      <x:c r="A32" s="105" t="str">
        <x:v>3. “收支总预算”不是“当年收入”。以清华、上交为例，均含较大规模上年科研项目结转；横向比较时必须同时观察本年收入。</x:v>
      </x:c>
      <x:c r="B32" s="105"/>
      <x:c r="C32" s="105"/>
      <x:c r="D32" s="105"/>
      <x:c r="E32" s="105"/>
      <x:c r="F32" s="105"/>
      <x:c r="G32" s="105"/>
      <x:c r="H32" s="105"/>
      <x:c r="I32" s="105"/>
      <x:c r="J32" s="105"/>
      <x:c r="K32" s="105"/>
      <x:c r="L32" s="105"/>
    </x:row>
    <x:row r="33" ht="30" customHeight="1">
      <x:c r="A33" s="107" t="str">
        <x:v>4. “事业收入”不可直接等同学费。教育部直属高校名词解释通常明确其包含教学、科研及辅助活动收入；部分学校可进一步拆出教育收费。</x:v>
      </x:c>
      <x:c r="B33" s="107"/>
      <x:c r="C33" s="107"/>
      <x:c r="D33" s="107"/>
      <x:c r="E33" s="107"/>
      <x:c r="F33" s="107"/>
      <x:c r="G33" s="107"/>
      <x:c r="H33" s="107"/>
      <x:c r="I33" s="107"/>
      <x:c r="J33" s="107"/>
      <x:c r="K33" s="107"/>
      <x:c r="L33" s="107"/>
    </x:row>
    <x:row r="34" ht="30" customHeight="1">
      <x:c r="A34" s="105" t="str">
        <x:v>5. “本年收入小于本年支出”也不等于亏损：可以使用历史结余和上年结转，且未完项目会继续结转下年。</x:v>
      </x:c>
      <x:c r="B34" s="105"/>
      <x:c r="C34" s="105"/>
      <x:c r="D34" s="105"/>
      <x:c r="E34" s="105"/>
      <x:c r="F34" s="105"/>
      <x:c r="G34" s="105"/>
      <x:c r="H34" s="105"/>
      <x:c r="I34" s="105"/>
      <x:c r="J34" s="105"/>
      <x:c r="K34" s="105"/>
      <x:c r="L34" s="105"/>
    </x:row>
    <x:row r="35" ht="30" customHeight="1">
      <x:c r="A35" s="107" t="str">
        <x:v>6. “教育支出/科学技术支出”是政府功能分类，并非大学内部教学/科研成本中心，因此不宜据此得出“科研只占X%”的结论。</x:v>
      </x:c>
      <x:c r="B35" s="107"/>
      <x:c r="C35" s="107"/>
      <x:c r="D35" s="107"/>
      <x:c r="E35" s="107"/>
      <x:c r="F35" s="107"/>
      <x:c r="G35" s="107"/>
      <x:c r="H35" s="107"/>
      <x:c r="I35" s="107"/>
      <x:c r="J35" s="107"/>
      <x:c r="K35" s="107"/>
      <x:c r="L35" s="107"/>
    </x:row>
    <x:row r="36" ht="30" customHeight="1">
      <x:c r="A36" s="105" t="str">
        <x:v>7. 历史决算与预算偏差较大的学校，往往受重大项目、基建、专项资金、地方投入落地时点影响，不能简单解释为经营能力。</x:v>
      </x:c>
      <x:c r="B36" s="105"/>
      <x:c r="C36" s="105"/>
      <x:c r="D36" s="105"/>
      <x:c r="E36" s="105"/>
      <x:c r="F36" s="105"/>
      <x:c r="G36" s="105"/>
      <x:c r="H36" s="105"/>
      <x:c r="I36" s="105"/>
      <x:c r="J36" s="105"/>
      <x:c r="K36" s="105"/>
      <x:c r="L36" s="105"/>
    </x:row>
    <x:row r="37" ht="30" customHeight="1">
      <x:c r="A37" s="107" t="str">
        <x:v>8. 对真正的财务稳健性，更应关注：本年收入结构、财政/科研依赖、基本支出刚性、项目支出比例、结转规模及其连续变化。</x:v>
      </x:c>
      <x:c r="B37" s="107"/>
      <x:c r="C37" s="107"/>
      <x:c r="D37" s="107"/>
      <x:c r="E37" s="107"/>
      <x:c r="F37" s="107"/>
      <x:c r="G37" s="107"/>
      <x:c r="H37" s="107"/>
      <x:c r="I37" s="107"/>
      <x:c r="J37" s="107"/>
      <x:c r="K37" s="107"/>
      <x:c r="L37" s="107"/>
    </x:row>
    <x:row r="40" ht="24" customHeight="1">
      <x:c r="A40" s="101" t="str">
        <x:v>重要口径警告：本工作簿的Top100“总预算”用于规模比较；若要判断学校当年经营压力，优先查看Revenue_Mix与Surplus_Carryover中的“本年收入/本年支出/上年结转/使用结余/结转下年”，而不是直接用总预算做利润表式判断。</x:v>
      </x:c>
      <x:c r="B40" s="101"/>
      <x:c r="C40" s="101"/>
      <x:c r="D40" s="101"/>
      <x:c r="E40" s="101"/>
      <x:c r="F40" s="101"/>
      <x:c r="G40" s="101"/>
      <x:c r="H40" s="101"/>
      <x:c r="I40" s="101"/>
      <x:c r="J40" s="101"/>
      <x:c r="K40" s="101"/>
      <x:c r="L40" s="101"/>
    </x:row>
    <x:row r="41" ht="24" customHeight="1">
      <x:c r="A41" s="101"/>
      <x:c r="B41" s="101"/>
      <x:c r="C41" s="101"/>
      <x:c r="D41" s="101"/>
      <x:c r="E41" s="101"/>
      <x:c r="F41" s="101"/>
      <x:c r="G41" s="101"/>
      <x:c r="H41" s="101"/>
      <x:c r="I41" s="101"/>
      <x:c r="J41" s="101"/>
      <x:c r="K41" s="101"/>
      <x:c r="L41" s="101"/>
    </x:row>
    <x:row r="42" ht="24" customHeight="1">
      <x:c r="A42" s="101"/>
      <x:c r="B42" s="101"/>
      <x:c r="C42" s="101"/>
      <x:c r="D42" s="101"/>
      <x:c r="E42" s="101"/>
      <x:c r="F42" s="101"/>
      <x:c r="G42" s="101"/>
      <x:c r="H42" s="101"/>
      <x:c r="I42" s="101"/>
      <x:c r="J42" s="101"/>
      <x:c r="K42" s="101"/>
      <x:c r="L42" s="101"/>
    </x:row>
  </x:sheetData>
  <x:mergeCells>
    <x:mergeCell ref="A1:L1"/>
    <x:mergeCell ref="A2:L2"/>
    <x:mergeCell ref="A4:B4"/>
    <x:mergeCell ref="E4:H4"/>
    <x:mergeCell ref="A15:D15"/>
    <x:mergeCell ref="A29:L29"/>
    <x:mergeCell ref="A40:L42"/>
    <x:mergeCell ref="A30:L30"/>
    <x:mergeCell ref="A31:L31"/>
    <x:mergeCell ref="A32:L32"/>
    <x:mergeCell ref="A33:L33"/>
    <x:mergeCell ref="A34:L34"/>
    <x:mergeCell ref="A35:L35"/>
    <x:mergeCell ref="A36:L36"/>
    <x:mergeCell ref="A37:L37"/>
  </x:mergeCells>
  <x:pageMargins left="0.7" right="0.7" top="0.75" bottom="0.75" header="0.3" footer="0.3"/>
  <x:drawing xmlns:r="http://schemas.openxmlformats.org/officeDocument/2006/relationships" r:id="R295ef4bc2fb34870"/>
</x:worksheet>
</file>