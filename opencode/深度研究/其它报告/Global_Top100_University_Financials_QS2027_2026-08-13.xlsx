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19fb334a4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cf6df2c6154b4d"/>
    <x:sheet xmlns:r="http://schemas.openxmlformats.org/officeDocument/2006/relationships" name="Dashboard" sheetId="2" r:id="Rfc5e6119a07b4acf"/>
    <x:sheet xmlns:r="http://schemas.openxmlformats.org/officeDocument/2006/relationships" name="Top100_Universe" sheetId="3" r:id="Rff17ceb9ab4e416f"/>
    <x:sheet xmlns:r="http://schemas.openxmlformats.org/officeDocument/2006/relationships" name="Latest_Financials" sheetId="4" r:id="R90bbdaa9dd37483b"/>
    <x:sheet xmlns:r="http://schemas.openxmlformats.org/officeDocument/2006/relationships" name="Revenue_Mix" sheetId="5" r:id="R642d697db7a24fed"/>
    <x:sheet xmlns:r="http://schemas.openxmlformats.org/officeDocument/2006/relationships" name="Expense_Mix" sheetId="6" r:id="R737b661ee7f64310"/>
    <x:sheet xmlns:r="http://schemas.openxmlformats.org/officeDocument/2006/relationships" name="Historical_Surplus" sheetId="7" r:id="Rd9e10f00ea70440e"/>
    <x:sheet xmlns:r="http://schemas.openxmlformats.org/officeDocument/2006/relationships" name="Australia_3Y" sheetId="8" r:id="R55ef59c24d384e42"/>
    <x:sheet xmlns:r="http://schemas.openxmlformats.org/officeDocument/2006/relationships" name="Country_Archetypes" sheetId="9" r:id="Rc978c862962047b5"/>
    <x:sheet xmlns:r="http://schemas.openxmlformats.org/officeDocument/2006/relationships" name="Sources" sheetId="10" r:id="R5083554638c8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%;[Red](0.0%)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4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  <x:fill>
      <x:patternFill patternType="solid">
        <x:fgColor rgb="FF0F6B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4CC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5a61f20ea4047" /><Relationship Type="http://schemas.openxmlformats.org/officeDocument/2006/relationships/theme" Target="/xl/theme/theme1.xml" Id="Re5b9872df827418f" /><Relationship Type="http://schemas.openxmlformats.org/officeDocument/2006/relationships/sharedStrings" Target="/xl/sharedStrings.xml" Id="Rdf70441ada1347c0" /><Relationship Type="http://schemas.openxmlformats.org/officeDocument/2006/relationships/worksheet" Target="/xl/worksheets/sheet1.xml" Id="R65cf6df2c6154b4d" /><Relationship Type="http://schemas.openxmlformats.org/officeDocument/2006/relationships/worksheet" Target="/xl/worksheets/sheet2.xml" Id="Rfc5e6119a07b4acf" /><Relationship Type="http://schemas.openxmlformats.org/officeDocument/2006/relationships/worksheet" Target="/xl/worksheets/sheet3.xml" Id="Rff17ceb9ab4e416f" /><Relationship Type="http://schemas.openxmlformats.org/officeDocument/2006/relationships/worksheet" Target="/xl/worksheets/sheet4.xml" Id="R90bbdaa9dd37483b" /><Relationship Type="http://schemas.openxmlformats.org/officeDocument/2006/relationships/worksheet" Target="/xl/worksheets/sheet5.xml" Id="R642d697db7a24fed" /><Relationship Type="http://schemas.openxmlformats.org/officeDocument/2006/relationships/worksheet" Target="/xl/worksheets/sheet6.xml" Id="R737b661ee7f64310" /><Relationship Type="http://schemas.openxmlformats.org/officeDocument/2006/relationships/worksheet" Target="/xl/worksheets/sheet7.xml" Id="Rd9e10f00ea70440e" /><Relationship Type="http://schemas.openxmlformats.org/officeDocument/2006/relationships/worksheet" Target="/xl/worksheets/sheet8.xml" Id="R55ef59c24d384e42" /><Relationship Type="http://schemas.openxmlformats.org/officeDocument/2006/relationships/worksheet" Target="/xl/worksheets/sheet9.xml" Id="Rc978c862962047b5" /><Relationship Type="http://schemas.openxmlformats.org/officeDocument/2006/relationships/worksheet" Target="/xl/worksheets/sheet10.xml" Id="R5083554638c84a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9a45b8846e433d" /><Relationship Type="http://schemas.openxmlformats.org/officeDocument/2006/relationships/chart" Target="/xl/drawings/charts/chart2.xml" Id="R825d3e1b27124eab" /><Relationship Type="http://schemas.openxmlformats.org/officeDocument/2006/relationships/chart" Target="/xl/drawings/charts/chart3.xml" Id="Rdf34eb07e49142e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Operating margin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'Dashboard'!$D$12:$D$19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Top100 institutions</c:v>
          </c:tx>
          <c:cat>
            <c:strRef>
              <c:f>'Dashboard'!$H$12:$H$23</c:f>
              <c:strCache>
                <c:ptCount val="0"/>
              </c:strCache>
            </c:strRef>
          </c:cat>
          <c:val>
            <c:numRef>
              <c:f>'Dashboard'!$I$12:$I$23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Margin</c:v>
          </c:tx>
          <c:cat>
            <c:strRef>
              <c:f>'Dashboard'!$K$12:$K$26</c:f>
              <c:strCache>
                <c:ptCount val="0"/>
              </c:strCache>
            </c:strRef>
          </c:cat>
          <c:val>
            <c:numRef>
              <c:f>'Dashboard'!$N$12:$N$26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9a45b8846e433d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5d3e1b27124eab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34eb07e49142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6bb51d9e8ef498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18" t="str">
        <x:v>Global Top-100 Universities: Financial Structure Research Workbook (QS 2027; 102 institutions due ties)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Research date</x:v>
      </x:c>
      <x:c r="B3" s="21" t="str">
        <x:v>2026-08-13</x:v>
      </x:c>
      <x:c r="C3" s="22" t="str"/>
      <x:c r="D3" s="22" t="str"/>
      <x:c r="E3" s="22" t="str"/>
      <x:c r="F3" s="22" t="str"/>
      <x:c r="G3" s="22" t="str"/>
      <x:c r="H3" s="22" t="str"/>
    </x:row>
    <x:row r="4">
      <x:c r="A4" s="20" t="str">
        <x:v>Universe</x:v>
      </x:c>
      <x:c r="B4" s="21" t="str">
        <x:v>QS World University Rankings 2027 Top 100; ties at #100 produce 102 institutions.</x:v>
      </x:c>
      <x:c r="C4" s="22" t="str"/>
      <x:c r="D4" s="22" t="str"/>
      <x:c r="E4" s="22" t="str"/>
      <x:c r="F4" s="22" t="str"/>
      <x:c r="G4" s="22" t="str"/>
      <x:c r="H4" s="22" t="str"/>
    </x:row>
    <x:row r="5">
      <x:c r="A5" s="20" t="str">
        <x:v>Core principle</x:v>
      </x:c>
      <x:c r="B5" s="21" t="str">
        <x:v>Audit-grade accuracy over false completeness: blanks are retained where public disclosures are not directly comparable.</x:v>
      </x:c>
      <x:c r="C5" s="22" t="str"/>
      <x:c r="D5" s="22" t="str"/>
      <x:c r="E5" s="22" t="str"/>
      <x:c r="F5" s="22" t="str"/>
      <x:c r="G5" s="22" t="str"/>
      <x:c r="H5" s="22" t="str"/>
    </x:row>
    <x:row r="6">
      <x:c r="A6" s="20" t="str">
        <x:v>Coverage</x:v>
      </x:c>
      <x:c r="B6" s="21" t="str">
        <x:v>All 102 institutions are indexed. Detailed audited/official numeric panel is concentrated in institutions with verified source extraction plus a standardized 3-year Australian panel.</x:v>
      </x:c>
      <x:c r="C6" s="22" t="str"/>
      <x:c r="D6" s="22" t="str"/>
      <x:c r="E6" s="22" t="str"/>
      <x:c r="F6" s="22" t="str"/>
      <x:c r="G6" s="22" t="str"/>
      <x:c r="H6" s="22" t="str"/>
    </x:row>
    <x:row r="7">
      <x:c r="A7" s="20" t="str">
        <x:v>Why comparability is hard</x:v>
      </x:c>
      <x:c r="B7" s="21" t="str">
        <x:v>Hospitals may be consolidated; Oxford/Cambridge colleges are separate; China uses public-sector budgetary final accounts; investments can dominate reported surplus; fiscal year and accounting standards differ.</x:v>
      </x:c>
      <x:c r="C7" s="22" t="str"/>
      <x:c r="D7" s="22" t="str"/>
      <x:c r="E7" s="22" t="str"/>
      <x:c r="F7" s="22" t="str"/>
      <x:c r="G7" s="22" t="str"/>
      <x:c r="H7" s="22" t="str"/>
    </x:row>
    <x:row r="8">
      <x:c r="A8" s="20" t="str">
        <x:v>Preferred metrics</x:v>
      </x:c>
      <x:c r="B8" s="21" t="str">
        <x:v>Operating/recurring margin; revenue diversification; personnel-cost ratio; research-funding share; international tuition dependency; clinical revenue share; investment/endowment dependency; net assets/endowment; result volatility.</x:v>
      </x:c>
      <x:c r="C8" s="22" t="str"/>
      <x:c r="D8" s="22" t="str"/>
      <x:c r="E8" s="22" t="str"/>
      <x:c r="F8" s="22" t="str"/>
      <x:c r="G8" s="22" t="str"/>
      <x:c r="H8" s="22" t="str"/>
    </x:row>
    <x:row r="9">
      <x:c r="A9" s="20" t="str">
        <x:v>Coverage Grade A</x:v>
      </x:c>
      <x:c r="B9" s="21" t="str">
        <x:v>Direct official audited/financial statement or official standardized government table with detailed numeric extraction.</x:v>
      </x:c>
      <x:c r="C9" s="22" t="str"/>
      <x:c r="D9" s="22" t="str"/>
      <x:c r="E9" s="22" t="str"/>
      <x:c r="F9" s="22" t="str"/>
      <x:c r="G9" s="22" t="str"/>
      <x:c r="H9" s="22" t="str"/>
    </x:row>
    <x:row r="10">
      <x:c r="A10" s="20" t="str">
        <x:v>Coverage Grade B</x:v>
      </x:c>
      <x:c r="B10" s="21" t="str">
        <x:v>Official page/report with key totals or partial categories; detailed harmonization incomplete.</x:v>
      </x:c>
      <x:c r="C10" s="22" t="str"/>
      <x:c r="D10" s="22" t="str"/>
      <x:c r="E10" s="22" t="str"/>
      <x:c r="F10" s="22" t="str"/>
      <x:c r="G10" s="22" t="str"/>
      <x:c r="H10" s="22" t="str"/>
    </x:row>
    <x:row r="11">
      <x:c r="A11" s="20" t="str">
        <x:v>Coverage Grade C/D</x:v>
      </x:c>
      <x:c r="B11" s="21" t="str">
        <x:v>Official national system/source exists but institution-level extraction incomplete, or ranking-only status. Never impute missing numeric values.</x:v>
      </x:c>
      <x:c r="C11" s="22" t="str"/>
      <x:c r="D11" s="22" t="str"/>
      <x:c r="E11" s="22" t="str"/>
      <x:c r="F11" s="22" t="str"/>
      <x:c r="G11" s="22" t="str"/>
      <x:c r="H11" s="22" t="str"/>
    </x:row>
    <x:row r="12">
      <x:c r="A12" s="20" t="str">
        <x:v>Accounting warning</x:v>
      </x:c>
      <x:c r="B12" s="21" t="str">
        <x:v>A university's current-year 'income minus expenditure' is not automatically an enterprise profit/loss. Public-sector carryforwards and non-operating investment gains can materially change interpretation.</x:v>
      </x:c>
      <x:c r="C12" s="22" t="str"/>
      <x:c r="D12" s="22" t="str"/>
      <x:c r="E12" s="22" t="str"/>
      <x:c r="F12" s="22" t="str"/>
      <x:c r="G12" s="22" t="str"/>
      <x:c r="H12" s="22" t="str"/>
    </x:row>
    <x:row r="13">
      <x:c r="A13" s="20" t="str">
        <x:v>Units</x:v>
      </x:c>
      <x:c r="B13" s="21" t="str">
        <x:v>All detailed financial figures use millions of the institution's native reporting currency unless explicitly noted.</x:v>
      </x:c>
      <x:c r="C13" s="22" t="str"/>
      <x:c r="D13" s="22" t="str"/>
      <x:c r="E13" s="22" t="str"/>
      <x:c r="F13" s="22" t="str"/>
      <x:c r="G13" s="22" t="str"/>
      <x:c r="H13" s="22" t="str"/>
    </x:row>
    <x:row r="14">
      <x:c r="A14" s="20" t="str">
        <x:v>No FX normalization</x:v>
      </x:c>
      <x:c r="B14" s="21" t="str">
        <x:v>Absolute amounts across different currencies are intentionally not converted to USD; ratios/margins are safer cross-country comparison metrics.</x:v>
      </x:c>
      <x:c r="C14" s="22" t="str"/>
      <x:c r="D14" s="22" t="str"/>
      <x:c r="E14" s="22" t="str"/>
      <x:c r="F14" s="22" t="str"/>
      <x:c r="G14" s="22" t="str"/>
      <x:c r="H14" s="22" t="str"/>
    </x:row>
    <x:row r="15">
      <x:c r="A15" s="20" t="str">
        <x:v>Primary ranking source</x:v>
      </x:c>
      <x:c r="B15" s="21" t="str">
        <x:v>https://www.topuniversities.com/world-university-rankings</x:v>
      </x:c>
      <x:c r="C15" s="22" t="str"/>
      <x:c r="D15" s="22" t="str"/>
      <x:c r="E15" s="22" t="str"/>
      <x:c r="F15" s="22" t="str"/>
      <x:c r="G15" s="22" t="str"/>
      <x:c r="H15" s="2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8" hidden="0" customWidth="1"/>
    <x:col min="4" max="4" width="12" hidden="0" customWidth="1"/>
    <x:col min="5" max="5" width="16" hidden="0" customWidth="1"/>
    <x:col min="6" max="6" width="16" hidden="0" customWidth="1"/>
    <x:col min="8" max="8" width="24" hidden="0" customWidth="1"/>
    <x:col min="9" max="9" width="14" hidden="0" customWidth="1"/>
    <x:col min="11" max="11" width="34" hidden="0" customWidth="1"/>
    <x:col min="12" max="12" width="10" hidden="0" customWidth="1"/>
    <x:col min="13" max="13" width="14" hidden="0" customWidth="1"/>
    <x:col min="14" max="14" width="18" hidden="0" customWidth="1"/>
  </x:cols>
  <x:sheetData>
    <x:row r="1" ht="26" customHeight="1">
      <x:c r="A1" s="5" t="str">
        <x:v>Dashboard - Global University Financial Structure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66" t="str">
        <x:v>KPI</x:v>
      </x:c>
      <x:c r="B3" s="66" t="str">
        <x:v>Value</x:v>
      </x:c>
      <x:c r="D3" s="66" t="str">
        <x:v>Interpretive findings</x:v>
      </x:c>
      <x:c r="E3" s="66"/>
      <x:c r="F3" s="66"/>
      <x:c r="G3" s="66"/>
      <x:c r="H3" s="66"/>
      <x:c r="I3" s="66"/>
      <x:c r="J3" s="66"/>
      <x:c r="K3" s="66"/>
      <x:c r="L3" s="66"/>
      <x:c r="M3" s="66"/>
      <x:c r="N3" s="66"/>
    </x:row>
    <x:row r="4" ht="38" customHeight="1">
      <x:c r="A4" s="11" t="str">
        <x:v>QS Top100 universe</x:v>
      </x:c>
      <x:c r="B4" s="73" t="n">
        <x:v>102</x:v>
      </x:c>
      <x:c r="D4" s="78" t="str">
        <x:v>1. Raw revenue scale is not globally comparable until consolidation scope is aligned: Stanford/Penn include large health systems; Oxford/Cambridge colleges are separate.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</x:row>
    <x:row r="5" ht="38" customHeight="1">
      <x:c r="A5" s="11" t="str">
        <x:v>Countries / jurisdictions</x:v>
      </x:c>
      <x:c r="B5" s="73" t="n">
        <x:v>23</x:v>
      </x:c>
      <x:c r="D5" s="83" t="str">
        <x:v>2. A reported annual surplus can be dominated by investments, pension remeasurements or non-recurring items. Cambridge and HKU illustrate why recurring operating result matters.</x:v>
      </x:c>
      <x:c r="E5" s="83"/>
      <x:c r="F5" s="83"/>
      <x:c r="G5" s="83"/>
      <x:c r="H5" s="83"/>
      <x:c r="I5" s="83"/>
      <x:c r="J5" s="83"/>
      <x:c r="K5" s="83"/>
      <x:c r="L5" s="83"/>
      <x:c r="M5" s="83"/>
      <x:c r="N5" s="83"/>
    </x:row>
    <x:row r="6" ht="38" customHeight="1">
      <x:c r="A6" s="11" t="str">
        <x:v>Institutions with verified latest numeric record</x:v>
      </x:c>
      <x:c r="B6" s="73" t="n">
        <x:v>24</x:v>
      </x:c>
      <x:c r="D6" s="78" t="str">
        <x:v>3. China public-university final accounts are budgetary: current-year income minus expenditure is not an enterprise profit/loss because carryforwards and non-fiscal balances matter.</x:v>
      </x:c>
      <x:c r="E6" s="78"/>
      <x:c r="F6" s="78"/>
      <x:c r="G6" s="78"/>
      <x:c r="H6" s="78"/>
      <x:c r="I6" s="78"/>
      <x:c r="J6" s="78"/>
      <x:c r="K6" s="78"/>
      <x:c r="L6" s="78"/>
      <x:c r="M6" s="78"/>
      <x:c r="N6" s="78"/>
    </x:row>
    <x:row r="7" ht="32" customHeight="1">
      <x:c r="A7" s="11" t="str">
        <x:v>Institutions with detailed revenue/expense mix</x:v>
      </x:c>
      <x:c r="B7" s="73" t="n">
        <x:v>19</x:v>
      </x:c>
      <x:c r="D7" s="83" t="str">
        <x:v>4. Australia provides the cleanest standardized Top100 peer panel here. 2024 international-student revenue represented roughly 18%-41% of total revenue across the eight legacy Top100 institutions in this panel.</x:v>
      </x:c>
      <x:c r="E7" s="83"/>
      <x:c r="F7" s="83"/>
      <x:c r="G7" s="83"/>
      <x:c r="H7" s="83"/>
      <x:c r="I7" s="83"/>
      <x:c r="J7" s="83"/>
      <x:c r="K7" s="83"/>
      <x:c r="L7" s="83"/>
      <x:c r="M7" s="83"/>
      <x:c r="N7" s="83"/>
    </x:row>
    <x:row r="8" ht="32" customHeight="1">
      <x:c r="A8" s="11" t="str">
        <x:v>Australia standardized 3-year observations</x:v>
      </x:c>
      <x:c r="B8" s="73" t="n">
        <x:v>24</x:v>
      </x:c>
      <x:c r="D8" s="78" t="str">
        <x:v>5. Personnel is the largest recurring cost base across systems; where detailed, employee/manpower cost often absorbs about half or more of expenditure.</x:v>
      </x:c>
      <x:c r="E8" s="78"/>
      <x:c r="F8" s="78"/>
      <x:c r="G8" s="78"/>
      <x:c r="H8" s="78"/>
      <x:c r="I8" s="78"/>
      <x:c r="J8" s="78"/>
      <x:c r="K8" s="78"/>
      <x:c r="L8" s="78"/>
      <x:c r="M8" s="78"/>
      <x:c r="N8" s="78"/>
    </x:row>
    <x:row r="9" ht="32" customHeight="1">
      <x:c r="D9" s="83" t="str">
        <x:v>6. Revenue diversification differs structurally: MIT relies heavily on investment distribution and sponsored research; HKU on subvention+tuition+investment; NUS on grants; Australia on fees+government.</x:v>
      </x:c>
      <x:c r="E9" s="83"/>
      <x:c r="F9" s="83"/>
      <x:c r="G9" s="83"/>
      <x:c r="H9" s="83"/>
      <x:c r="I9" s="83"/>
      <x:c r="J9" s="83"/>
      <x:c r="K9" s="83"/>
      <x:c r="L9" s="83"/>
      <x:c r="M9" s="83"/>
      <x:c r="N9" s="83"/>
    </x:row>
    <x:row r="10" ht="32" customHeight="1">
      <x:c r="D10" s="78" t="str">
        <x:v>7. For fiscal-stress diagnosis, use multi-year recurring margins, liquidity/net assets, unrestricted reserves and funding concentration - not one year's income-expenditure gap alone.</x:v>
      </x:c>
      <x:c r="E10" s="78"/>
      <x:c r="F10" s="78"/>
      <x:c r="G10" s="78"/>
      <x:c r="H10" s="78"/>
      <x:c r="I10" s="78"/>
      <x:c r="J10" s="78"/>
      <x:c r="K10" s="78"/>
      <x:c r="L10" s="78"/>
      <x:c r="M10" s="78"/>
      <x:c r="N10" s="78"/>
    </x:row>
    <x:row r="11">
      <x:c r="A11" s="90" t="str">
        <x:v>Institution</x:v>
      </x:c>
      <x:c r="B11" s="90" t="str">
        <x:v>2024 Revenue A$m</x:v>
      </x:c>
      <x:c r="C11" s="90" t="str">
        <x:v>2024 Net result A$m</x:v>
      </x:c>
      <x:c r="D11" s="90" t="str">
        <x:v>Margin</x:v>
      </x:c>
      <x:c r="E11" s="90" t="str">
        <x:v>International share</x:v>
      </x:c>
      <x:c r="F11" s="90" t="str">
        <x:v>Employee cost share</x:v>
      </x:c>
      <x:c r="H11" s="90" t="str">
        <x:v>Country/Jurisdiction</x:v>
      </x:c>
      <x:c r="I11" s="90" t="str">
        <x:v>Top100 institutions</x:v>
      </x:c>
      <x:c r="K11" s="90" t="str">
        <x:v>Institution</x:v>
      </x:c>
      <x:c r="L11" s="90" t="str">
        <x:v>Currency</x:v>
      </x:c>
      <x:c r="M11" s="90" t="str">
        <x:v>Result</x:v>
      </x:c>
      <x:c r="N11" s="90" t="str">
        <x:v>Comparable margin</x:v>
      </x:c>
    </x:row>
    <x:row r="12">
      <x:c r="A12" s="36" t="str">
        <x:v>Western Australia</x:v>
      </x:c>
      <x:c r="B12" s="42" t="n">
        <x:v>1288.812</x:v>
      </x:c>
      <x:c r="C12" s="42" t="n">
        <x:v>197.396</x:v>
      </x:c>
      <x:c r="D12" s="44" t="n">
        <x:f>C12/B12</x:f>
        <x:v>0.15316120582365775</x:v>
      </x:c>
      <x:c r="E12" s="54" t="n">
        <x:v>0.20713959832776233</x:v>
      </x:c>
      <x:c r="F12" s="54" t="n">
        <x:v>0.5460273626188364</x:v>
      </x:c>
      <x:c r="H12" s="36" t="str">
        <x:v>United States</x:v>
      </x:c>
      <x:c r="I12" s="36" t="n">
        <x:v>26</x:v>
      </x:c>
      <x:c r="K12" s="36" t="str">
        <x:v>Massachusetts Institute of Technology (MIT)</x:v>
      </x:c>
      <x:c r="L12" s="36" t="str">
        <x:v>USD</x:v>
      </x:c>
      <x:c r="M12" s="42" t="n">
        <x:v>255.6</x:v>
      </x:c>
      <x:c r="N12" s="56" t="n">
        <x:f>M12/INDEX(Latest_Financials!$E$4:$E$200,MATCH(K12,Latest_Financials!$B$4:$B$200,0))</x:f>
        <x:v>0.04757296009529482</x:v>
      </x:c>
    </x:row>
    <x:row r="13">
      <x:c r="A13" s="36" t="str">
        <x:v>Sydney</x:v>
      </x:c>
      <x:c r="B13" s="42" t="n">
        <x:v>3885.303</x:v>
      </x:c>
      <x:c r="C13" s="42" t="n">
        <x:v>545.272</x:v>
      </x:c>
      <x:c r="D13" s="44" t="n">
        <x:f>C13/B13</x:f>
        <x:v>0.1403422075446883</x:v>
      </x:c>
      <x:c r="E13" s="54" t="n">
        <x:v>0.4125927887734882</x:v>
      </x:c>
      <x:c r="F13" s="54" t="n">
        <x:v>0.5827281243796839</x:v>
      </x:c>
      <x:c r="H13" s="36" t="str">
        <x:v>United Kingdom</x:v>
      </x:c>
      <x:c r="I13" s="36" t="n">
        <x:v>16</x:v>
      </x:c>
      <x:c r="K13" s="36" t="str">
        <x:v>Stanford University</x:v>
      </x:c>
      <x:c r="L13" s="36" t="str">
        <x:v>USD</x:v>
      </x:c>
      <x:c r="M13" s="42" t="n">
        <x:v>455.86</x:v>
      </x:c>
      <x:c r="N13" s="56" t="n">
        <x:f>M13/INDEX(Latest_Financials!$E$4:$E$200,MATCH(K13,Latest_Financials!$B$4:$B$200,0))</x:f>
        <x:v>0.023508472121038567</x:v>
      </x:c>
    </x:row>
    <x:row r="14">
      <x:c r="A14" s="36" t="str">
        <x:v>Queensland</x:v>
      </x:c>
      <x:c r="B14" s="42" t="n">
        <x:v>2698.135</x:v>
      </x:c>
      <x:c r="C14" s="42" t="n">
        <x:v>279.547</x:v>
      </x:c>
      <x:c r="D14" s="44" t="n">
        <x:f>C14/B14</x:f>
        <x:v>0.10360749184158688</x:v>
      </x:c>
      <x:c r="E14" s="54" t="n">
        <x:v>0.28689335411311884</x:v>
      </x:c>
      <x:c r="F14" s="54" t="n">
        <x:v>0.554738549930786</x:v>
      </x:c>
      <x:c r="H14" s="36" t="str">
        <x:v>Australia</x:v>
      </x:c>
      <x:c r="I14" s="36" t="n">
        <x:v>9</x:v>
      </x:c>
      <x:c r="K14" s="36" t="str">
        <x:v>Harvard University</x:v>
      </x:c>
      <x:c r="L14" s="36" t="str">
        <x:v>USD</x:v>
      </x:c>
      <x:c r="M14" s="42" t="n">
        <x:v>-113</x:v>
      </x:c>
      <x:c r="N14" s="56" t="n">
        <x:f>M14/INDEX(Latest_Financials!$E$4:$E$200,MATCH(K14,Latest_Financials!$B$4:$B$200,0))</x:f>
        <x:v>-0.016865671641791046</x:v>
      </x:c>
    </x:row>
    <x:row r="15">
      <x:c r="A15" s="36" t="str">
        <x:v>Melbourne</x:v>
      </x:c>
      <x:c r="B15" s="42" t="n">
        <x:v>3699.756</x:v>
      </x:c>
      <x:c r="C15" s="42" t="n">
        <x:v>272.704</x:v>
      </x:c>
      <x:c r="D15" s="44" t="n">
        <x:f>C15/B15</x:f>
        <x:v>0.07370864457007435</x:v>
      </x:c>
      <x:c r="E15" s="54" t="n">
        <x:v>0.31780474171810247</x:v>
      </x:c>
      <x:c r="F15" s="54" t="n">
        <x:v>0.5659076664141659</x:v>
      </x:c>
      <x:c r="H15" s="36" t="str">
        <x:v>China</x:v>
      </x:c>
      <x:c r="I15" s="36" t="n">
        <x:v>6</x:v>
      </x:c>
      <x:c r="K15" s="36" t="str">
        <x:v>National University of Singapore (NUS)</x:v>
      </x:c>
      <x:c r="L15" s="36" t="str">
        <x:v>SGD</x:v>
      </x:c>
      <x:c r="M15" s="42" t="n">
        <x:v>339.591</x:v>
      </x:c>
      <x:c r="N15" s="56" t="n">
        <x:f>M15/INDEX(Latest_Financials!$E$4:$E$200,MATCH(K15,Latest_Financials!$B$4:$B$200,0))</x:f>
        <x:v>0.08747951093638788</x:v>
      </x:c>
    </x:row>
    <x:row r="16">
      <x:c r="A16" s="36" t="str">
        <x:v>Australian National University (ANU)</x:v>
      </x:c>
      <x:c r="B16" s="42" t="n">
        <x:v>1598.813</x:v>
      </x:c>
      <x:c r="C16" s="42" t="n">
        <x:v>87.117</x:v>
      </x:c>
      <x:c r="D16" s="44" t="n">
        <x:f>C16/B16</x:f>
        <x:v>0.05448854869206092</x:v>
      </x:c>
      <x:c r="E16" s="54" t="n">
        <x:v>0.1853112277670997</x:v>
      </x:c>
      <x:c r="F16" s="54" t="n">
        <x:v>0.5537965305193637</x:v>
      </x:c>
      <x:c r="H16" s="36" t="str">
        <x:v>Hong Kong SAR</x:v>
      </x:c>
      <x:c r="I16" s="36" t="n">
        <x:v>5</x:v>
      </x:c>
      <x:c r="K16" s="36" t="str">
        <x:v>The University of Hong Kong</x:v>
      </x:c>
      <x:c r="L16" s="36" t="str">
        <x:v>HKD</x:v>
      </x:c>
      <x:c r="M16" s="42" t="n">
        <x:v>4807.678</x:v>
      </x:c>
      <x:c r="N16" s="56" t="n">
        <x:f>M16/INDEX(Latest_Financials!$E$4:$E$200,MATCH(K16,Latest_Financials!$B$4:$B$200,0))</x:f>
        <x:v>0.2559798431123952</x:v>
      </x:c>
    </x:row>
    <x:row r="17">
      <x:c r="A17" s="36" t="str">
        <x:v>Monash University</x:v>
      </x:c>
      <x:c r="B17" s="42" t="n">
        <x:v>3458.994</x:v>
      </x:c>
      <x:c r="C17" s="42" t="n">
        <x:v>180.794</x:v>
      </x:c>
      <x:c r="D17" s="44" t="n">
        <x:f>C17/B17</x:f>
        <x:v>0.052267798093896665</x:v>
      </x:c>
      <x:c r="E17" s="54" t="n">
        <x:v>0.32847122602698936</x:v>
      </x:c>
      <x:c r="F17" s="54" t="n">
        <x:v>0.4881834543346959</x:v>
      </x:c>
      <x:c r="H17" s="36" t="str">
        <x:v>Canada</x:v>
      </x:c>
      <x:c r="I17" s="36" t="n">
        <x:v>4</x:v>
      </x:c>
      <x:c r="K17" s="36" t="str">
        <x:v>University of Pennsylvania</x:v>
      </x:c>
      <x:c r="L17" s="36" t="str">
        <x:v>USD</x:v>
      </x:c>
      <x:c r="M17" s="42" t="n">
        <x:v>660</x:v>
      </x:c>
      <x:c r="N17" s="56" t="n">
        <x:f>M17/INDEX(Latest_Financials!$E$4:$E$200,MATCH(K17,Latest_Financials!$B$4:$B$200,0))</x:f>
        <x:v>0.04177215189873418</x:v>
      </x:c>
    </x:row>
    <x:row r="18">
      <x:c r="A18" s="36" t="str">
        <x:v>New South Wales (UNSW Sydney)</x:v>
      </x:c>
      <x:c r="B18" s="42" t="n">
        <x:v>3285.554</x:v>
      </x:c>
      <x:c r="C18" s="42" t="n">
        <x:v>131.175</x:v>
      </x:c>
      <x:c r="D18" s="44" t="n">
        <x:f>C18/B18</x:f>
        <x:v>0.039924773721570245</x:v>
      </x:c>
      <x:c r="E18" s="54" t="n">
        <x:v>0.3996787147616505</x:v>
      </x:c>
      <x:c r="F18" s="54" t="n">
        <x:v>0.51492512472344</x:v>
      </x:c>
      <x:c r="H18" s="36" t="str">
        <x:v>France</x:v>
      </x:c>
      <x:c r="I18" s="36" t="n">
        <x:v>4</x:v>
      </x:c>
      <x:c r="K18" s="36" t="str">
        <x:v>Yale University</x:v>
      </x:c>
      <x:c r="L18" s="36" t="str">
        <x:v>USD</x:v>
      </x:c>
      <x:c r="M18" s="42" t="n">
        <x:v>211</x:v>
      </x:c>
      <x:c r="N18" s="56" t="n">
        <x:f>M18/INDEX(Latest_Financials!$E$4:$E$200,MATCH(K18,Latest_Financials!$B$4:$B$200,0))</x:f>
        <x:v>0.03576271186440678</x:v>
      </x:c>
    </x:row>
    <x:row r="19">
      <x:c r="A19" s="36" t="str">
        <x:v>Technology Sydney (UTS)</x:v>
      </x:c>
      <x:c r="B19" s="42" t="n">
        <x:v>1314.035</x:v>
      </x:c>
      <x:c r="C19" s="42" t="n">
        <x:v>-80.825</x:v>
      </x:c>
      <x:c r="D19" s="44" t="n">
        <x:f>C19/B19</x:f>
        <x:v>-0.0615090161220972</x:v>
      </x:c>
      <x:c r="E19" s="54" t="n">
        <x:v>0.32007975434444286</x:v>
      </x:c>
      <x:c r="F19" s="54" t="n">
        <x:v>0.5480141376195461</x:v>
      </x:c>
      <x:c r="H19" s="36" t="str">
        <x:v>Germany</x:v>
      </x:c>
      <x:c r="I19" s="36" t="n">
        <x:v>4</x:v>
      </x:c>
      <x:c r="K19" s="36" t="str">
        <x:v>The University of New South Wales (UNSW Sydney)</x:v>
      </x:c>
      <x:c r="L19" s="36" t="str">
        <x:v>AUD</x:v>
      </x:c>
      <x:c r="M19" s="42" t="n">
        <x:v>131.175</x:v>
      </x:c>
      <x:c r="N19" s="56" t="n">
        <x:f>M19/INDEX(Latest_Financials!$E$4:$E$200,MATCH(K19,Latest_Financials!$B$4:$B$200,0))</x:f>
        <x:v>0.039924773721570245</x:v>
      </x:c>
    </x:row>
    <x:row r="20">
      <x:c r="H20" s="36" t="str">
        <x:v>Japan</x:v>
      </x:c>
      <x:c r="I20" s="36" t="n">
        <x:v>4</x:v>
      </x:c>
      <x:c r="K20" s="36" t="str">
        <x:v>The University of Melbourne</x:v>
      </x:c>
      <x:c r="L20" s="36" t="str">
        <x:v>AUD</x:v>
      </x:c>
      <x:c r="M20" s="42" t="n">
        <x:v>272.704</x:v>
      </x:c>
      <x:c r="N20" s="56" t="n">
        <x:f>M20/INDEX(Latest_Financials!$E$4:$E$200,MATCH(K20,Latest_Financials!$B$4:$B$200,0))</x:f>
        <x:v>0.07370864457007435</x:v>
      </x:c>
    </x:row>
    <x:row r="21">
      <x:c r="H21" s="36" t="str">
        <x:v>South Korea</x:v>
      </x:c>
      <x:c r="I21" s="36" t="n">
        <x:v>4</x:v>
      </x:c>
      <x:c r="K21" s="36" t="str">
        <x:v>The University of Sydney</x:v>
      </x:c>
      <x:c r="L21" s="36" t="str">
        <x:v>AUD</x:v>
      </x:c>
      <x:c r="M21" s="42" t="n">
        <x:v>545.272</x:v>
      </x:c>
      <x:c r="N21" s="56" t="n">
        <x:f>M21/INDEX(Latest_Financials!$E$4:$E$200,MATCH(K21,Latest_Financials!$B$4:$B$200,0))</x:f>
        <x:v>0.1403422075446883</x:v>
      </x:c>
    </x:row>
    <x:row r="22">
      <x:c r="H22" s="36" t="str">
        <x:v>Sweden</x:v>
      </x:c>
      <x:c r="I22" s="36" t="n">
        <x:v>3</x:v>
      </x:c>
      <x:c r="K22" s="36" t="str">
        <x:v>Australian National University (ANU)</x:v>
      </x:c>
      <x:c r="L22" s="36" t="str">
        <x:v>AUD</x:v>
      </x:c>
      <x:c r="M22" s="42" t="n">
        <x:v>87.117</x:v>
      </x:c>
      <x:c r="N22" s="56" t="n">
        <x:f>M22/INDEX(Latest_Financials!$E$4:$E$200,MATCH(K22,Latest_Financials!$B$4:$B$200,0))</x:f>
        <x:v>0.05448854869206092</x:v>
      </x:c>
    </x:row>
    <x:row r="23">
      <x:c r="H23" s="36" t="str">
        <x:v>Switzerland</x:v>
      </x:c>
      <x:c r="I23" s="36" t="n">
        <x:v>3</x:v>
      </x:c>
      <x:c r="K23" s="36" t="str">
        <x:v>Monash University</x:v>
      </x:c>
      <x:c r="L23" s="36" t="str">
        <x:v>AUD</x:v>
      </x:c>
      <x:c r="M23" s="42" t="n">
        <x:v>180.794</x:v>
      </x:c>
      <x:c r="N23" s="56" t="n">
        <x:f>M23/INDEX(Latest_Financials!$E$4:$E$200,MATCH(K23,Latest_Financials!$B$4:$B$200,0))</x:f>
        <x:v>0.052267798093896665</x:v>
      </x:c>
    </x:row>
    <x:row r="24">
      <x:c r="H24" s="36" t="str">
        <x:v>Ireland</x:v>
      </x:c>
      <x:c r="I24" s="36" t="n">
        <x:v>2</x:v>
      </x:c>
      <x:c r="K24" s="36" t="str">
        <x:v>The University of Queensland</x:v>
      </x:c>
      <x:c r="L24" s="36" t="str">
        <x:v>AUD</x:v>
      </x:c>
      <x:c r="M24" s="42" t="n">
        <x:v>279.547</x:v>
      </x:c>
      <x:c r="N24" s="56" t="n">
        <x:f>M24/INDEX(Latest_Financials!$E$4:$E$200,MATCH(K24,Latest_Financials!$B$4:$B$200,0))</x:f>
        <x:v>0.10360749184158688</x:v>
      </x:c>
    </x:row>
    <x:row r="25">
      <x:c r="H25" s="36" t="str">
        <x:v>Netherlands</x:v>
      </x:c>
      <x:c r="I25" s="36" t="n">
        <x:v>2</x:v>
      </x:c>
      <x:c r="K25" s="36" t="str">
        <x:v>The University of Western Australia</x:v>
      </x:c>
      <x:c r="L25" s="36" t="str">
        <x:v>AUD</x:v>
      </x:c>
      <x:c r="M25" s="42" t="n">
        <x:v>197.396</x:v>
      </x:c>
      <x:c r="N25" s="56" t="n">
        <x:f>M25/INDEX(Latest_Financials!$E$4:$E$200,MATCH(K25,Latest_Financials!$B$4:$B$200,0))</x:f>
        <x:v>0.15316120582365775</x:v>
      </x:c>
    </x:row>
    <x:row r="26">
      <x:c r="H26" s="36" t="str">
        <x:v>Singapore</x:v>
      </x:c>
      <x:c r="I26" s="36" t="n">
        <x:v>2</x:v>
      </x:c>
      <x:c r="K26" s="36" t="str">
        <x:v>The University of Technology Sydney (UTS)</x:v>
      </x:c>
      <x:c r="L26" s="36" t="str">
        <x:v>AUD</x:v>
      </x:c>
      <x:c r="M26" s="42" t="n">
        <x:v>-80.825</x:v>
      </x:c>
      <x:c r="N26" s="56" t="n">
        <x:f>M26/INDEX(Latest_Financials!$E$4:$E$200,MATCH(K26,Latest_Financials!$B$4:$B$200,0))</x:f>
        <x:v>-0.0615090161220972</x:v>
      </x:c>
    </x:row>
    <x:row r="27">
      <x:c r="H27" s="36" t="str">
        <x:v>Argentina</x:v>
      </x:c>
      <x:c r="I27" s="36" t="n">
        <x:v>1</x:v>
      </x:c>
    </x:row>
    <x:row r="28">
      <x:c r="H28" s="36" t="str">
        <x:v>Belgium</x:v>
      </x:c>
      <x:c r="I28" s="36" t="n">
        <x:v>1</x:v>
      </x:c>
    </x:row>
    <x:row r="29">
      <x:c r="H29" s="36" t="str">
        <x:v>Denmark</x:v>
      </x:c>
      <x:c r="I29" s="36" t="n">
        <x:v>1</x:v>
      </x:c>
    </x:row>
    <x:row r="30">
      <x:c r="H30" s="36" t="str">
        <x:v>Italy</x:v>
      </x:c>
      <x:c r="I30" s="36" t="n">
        <x:v>1</x:v>
      </x:c>
    </x:row>
    <x:row r="31">
      <x:c r="H31" s="36" t="str">
        <x:v>Malaysia</x:v>
      </x:c>
      <x:c r="I31" s="36" t="n">
        <x:v>1</x:v>
      </x:c>
    </x:row>
    <x:row r="32">
      <x:c r="H32" s="36" t="str">
        <x:v>New Zealand</x:v>
      </x:c>
      <x:c r="I32" s="36" t="n">
        <x:v>1</x:v>
      </x:c>
    </x:row>
    <x:row r="33">
      <x:c r="H33" s="36" t="str">
        <x:v>Saudi Arabia</x:v>
      </x:c>
      <x:c r="I33" s="36" t="n">
        <x:v>1</x:v>
      </x:c>
    </x:row>
    <x:row r="34">
      <x:c r="H34" s="36" t="str">
        <x:v>Taiwan</x:v>
      </x:c>
      <x:c r="I34" s="36" t="n">
        <x:v>1</x:v>
      </x:c>
    </x:row>
  </x:sheetData>
  <x:mergeCells>
    <x:mergeCell ref="A1:N1"/>
    <x:mergeCell ref="D3:N3"/>
    <x:mergeCell ref="D4:N4"/>
    <x:mergeCell ref="D5:N5"/>
    <x:mergeCell ref="D6:N6"/>
    <x:mergeCell ref="D7:N7"/>
    <x:mergeCell ref="D8:N8"/>
    <x:mergeCell ref="D9:N9"/>
    <x:mergeCell ref="D10:N10"/>
  </x:mergeCells>
  <x:pageMargins left="0.7" right="0.7" top="0.75" bottom="0.75" header="0.3" footer="0.3"/>
  <x:drawing xmlns:r="http://schemas.openxmlformats.org/officeDocument/2006/relationships" r:id="R26bb51d9e8ef4989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20" hidden="0" customWidth="1"/>
    <x:col min="4" max="4" width="38" hidden="0" customWidth="1"/>
    <x:col min="5" max="5" width="15" hidden="0" customWidth="1"/>
    <x:col min="6" max="6" width="13" hidden="0" customWidth="1"/>
    <x:col min="7" max="7" width="12" hidden="0" customWidth="1"/>
    <x:col min="8" max="8" width="18" hidden="0" customWidth="1"/>
    <x:col min="9" max="9" width="48" hidden="0" customWidth="1"/>
  </x:cols>
  <x:sheetData>
    <x:row r="1" ht="28" customHeight="1">
      <x:c r="A1" s="5" t="str">
        <x:v>QS World University Rankings 2027 - Top 100 Universe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1" t="str">
        <x:v>QS Rank</x:v>
      </x:c>
      <x:c r="B3" s="31" t="str">
        <x:v>Institution</x:v>
      </x:c>
      <x:c r="C3" s="31" t="str">
        <x:v>Country/Jurisdiction</x:v>
      </x:c>
      <x:c r="D3" s="31" t="str">
        <x:v>Funding archetype</x:v>
      </x:c>
      <x:c r="E3" s="31" t="str">
        <x:v>Detailed latest data</x:v>
      </x:c>
      <x:c r="F3" s="31" t="str">
        <x:v>Detailed mix</x:v>
      </x:c>
      <x:c r="G3" s="31" t="str">
        <x:v>Coverage grade</x:v>
      </x:c>
      <x:c r="H3" s="31" t="str">
        <x:v>Latest FY in workbook</x:v>
      </x:c>
      <x:c r="I3" s="31" t="str">
        <x:v>Notes</x:v>
      </x:c>
    </x:row>
    <x:row r="4">
      <x:c r="A4" s="16" t="n">
        <x:v>1</x:v>
      </x:c>
      <x:c r="B4" s="16" t="str">
        <x:v>Massachusetts Institute of Technology (MIT)</x:v>
      </x:c>
      <x:c r="C4" s="16" t="str">
        <x:v>United States</x:v>
      </x:c>
      <x:c r="D4" s="16" t="str">
        <x:v>US private/nonprofit research</x:v>
      </x:c>
      <x:c r="E4" s="16" t="str">
        <x:v>Yes</x:v>
      </x:c>
      <x:c r="F4" s="16" t="str">
        <x:v>Yes</x:v>
      </x:c>
      <x:c r="G4" s="16" t="str">
        <x:v>A</x:v>
      </x:c>
      <x:c r="H4" s="16" t="str">
        <x:v>FY2025</x:v>
      </x:c>
      <x:c r="I4" s="16" t="str"/>
    </x:row>
    <x:row r="5">
      <x:c r="A5" s="16" t="n">
        <x:v>2</x:v>
      </x:c>
      <x:c r="B5" s="16" t="str">
        <x:v>Imperial College London</x:v>
      </x:c>
      <x:c r="C5" s="16" t="str">
        <x:v>United Kingdom</x:v>
      </x:c>
      <x:c r="D5" s="16" t="str">
        <x:v>UK public research / tuition+research</x:v>
      </x:c>
      <x:c r="E5" s="16" t="str">
        <x:v>Yes</x:v>
      </x:c>
      <x:c r="F5" s="16" t="str">
        <x:v>Yes</x:v>
      </x:c>
      <x:c r="G5" s="16" t="str">
        <x:v>A</x:v>
      </x:c>
      <x:c r="H5" s="16" t="str">
        <x:v>FY2024/25</x:v>
      </x:c>
      <x:c r="I5" s="16" t="str"/>
    </x:row>
    <x:row r="6">
      <x:c r="A6" s="16" t="n">
        <x:v>2</x:v>
      </x:c>
      <x:c r="B6" s="16" t="str">
        <x:v>Stanford University</x:v>
      </x:c>
      <x:c r="C6" s="16" t="str">
        <x:v>United States</x:v>
      </x:c>
      <x:c r="D6" s="16" t="str">
        <x:v>US private/nonprofit research</x:v>
      </x:c>
      <x:c r="E6" s="16" t="str">
        <x:v>Yes</x:v>
      </x:c>
      <x:c r="F6" s="16" t="str">
        <x:v>Yes</x:v>
      </x:c>
      <x:c r="G6" s="16" t="str">
        <x:v>A</x:v>
      </x:c>
      <x:c r="H6" s="16" t="str">
        <x:v>FY2025</x:v>
      </x:c>
      <x:c r="I6" s="16" t="str"/>
    </x:row>
    <x:row r="7">
      <x:c r="A7" s="16" t="n">
        <x:v>4</x:v>
      </x:c>
      <x:c r="B7" s="16" t="str">
        <x:v>University of Oxford</x:v>
      </x:c>
      <x:c r="C7" s="16" t="str">
        <x:v>United Kingdom</x:v>
      </x:c>
      <x:c r="D7" s="16" t="str">
        <x:v>UK public research / tuition+research</x:v>
      </x:c>
      <x:c r="E7" s="16" t="str">
        <x:v>Yes</x:v>
      </x:c>
      <x:c r="F7" s="16" t="str">
        <x:v>No</x:v>
      </x:c>
      <x:c r="G7" s="16" t="str">
        <x:v>A</x:v>
      </x:c>
      <x:c r="H7" s="16" t="str">
        <x:v>FY2024/25</x:v>
      </x:c>
      <x:c r="I7" s="16" t="str"/>
    </x:row>
    <x:row r="8">
      <x:c r="A8" s="16" t="n">
        <x:v>5</x:v>
      </x:c>
      <x:c r="B8" s="16" t="str">
        <x:v>Harvard University</x:v>
      </x:c>
      <x:c r="C8" s="16" t="str">
        <x:v>United States</x:v>
      </x:c>
      <x:c r="D8" s="16" t="str">
        <x:v>US private/nonprofit research</x:v>
      </x:c>
      <x:c r="E8" s="16" t="str">
        <x:v>Yes</x:v>
      </x:c>
      <x:c r="F8" s="16" t="str">
        <x:v>Yes</x:v>
      </x:c>
      <x:c r="G8" s="16" t="str">
        <x:v>A</x:v>
      </x:c>
      <x:c r="H8" s="16" t="str">
        <x:v>FY2025</x:v>
      </x:c>
      <x:c r="I8" s="16" t="str"/>
    </x:row>
    <x:row r="9">
      <x:c r="A9" s="16" t="n">
        <x:v>6</x:v>
      </x:c>
      <x:c r="B9" s="16" t="str">
        <x:v>University of Cambridge</x:v>
      </x:c>
      <x:c r="C9" s="16" t="str">
        <x:v>United Kingdom</x:v>
      </x:c>
      <x:c r="D9" s="16" t="str">
        <x:v>UK public research / tuition+research</x:v>
      </x:c>
      <x:c r="E9" s="16" t="str">
        <x:v>Yes</x:v>
      </x:c>
      <x:c r="F9" s="16" t="str">
        <x:v>No</x:v>
      </x:c>
      <x:c r="G9" s="16" t="str">
        <x:v>A</x:v>
      </x:c>
      <x:c r="H9" s="16" t="str">
        <x:v>FY2024/25</x:v>
      </x:c>
      <x:c r="I9" s="16" t="str"/>
    </x:row>
    <x:row r="10">
      <x:c r="A10" s="16" t="n">
        <x:v>7</x:v>
      </x:c>
      <x:c r="B10" s="16" t="str">
        <x:v>California Institute of Technology (Caltech)</x:v>
      </x:c>
      <x:c r="C10" s="16" t="str">
        <x:v>United States</x:v>
      </x:c>
      <x:c r="D10" s="16" t="str">
        <x:v>US private/nonprofit research</x:v>
      </x:c>
      <x:c r="E10" s="16" t="str">
        <x:v>Yes</x:v>
      </x:c>
      <x:c r="F10" s="16" t="str">
        <x:v>No</x:v>
      </x:c>
      <x:c r="G10" s="16" t="str">
        <x:v>B</x:v>
      </x:c>
      <x:c r="H10" s="16" t="str">
        <x:v>FY2025</x:v>
      </x:c>
      <x:c r="I10" s="16" t="str"/>
    </x:row>
    <x:row r="11">
      <x:c r="A11" s="16" t="n">
        <x:v>8</x:v>
      </x:c>
      <x:c r="B11" s="16" t="str">
        <x:v>ETH Zurich</x:v>
      </x:c>
      <x:c r="C11" s="16" t="str">
        <x:v>Switzerland</x:v>
      </x:c>
      <x:c r="D11" s="16" t="str">
        <x:v>Continental Europe public/core funding+third-party research</x:v>
      </x:c>
      <x:c r="E11" s="16" t="str">
        <x:v>Yes</x:v>
      </x:c>
      <x:c r="F11" s="16" t="str">
        <x:v>Yes</x:v>
      </x:c>
      <x:c r="G11" s="16" t="str">
        <x:v>B</x:v>
      </x:c>
      <x:c r="H11" s="16" t="str">
        <x:v>FY2023</x:v>
      </x:c>
      <x:c r="I11" s="16" t="str"/>
    </x:row>
    <x:row r="12">
      <x:c r="A12" s="16" t="n">
        <x:v>8</x:v>
      </x:c>
      <x:c r="B12" s="16" t="str">
        <x:v>UCL</x:v>
      </x:c>
      <x:c r="C12" s="16" t="str">
        <x:v>United Kingdom</x:v>
      </x:c>
      <x:c r="D12" s="16" t="str">
        <x:v>UK public research / tuition+research</x:v>
      </x:c>
      <x:c r="E12" s="16" t="str">
        <x:v>Yes</x:v>
      </x:c>
      <x:c r="F12" s="16" t="str">
        <x:v>No</x:v>
      </x:c>
      <x:c r="G12" s="16" t="str">
        <x:v>B</x:v>
      </x:c>
      <x:c r="H12" s="16" t="str">
        <x:v>FY2023/24</x:v>
      </x:c>
      <x:c r="I12" s="16" t="str"/>
    </x:row>
    <x:row r="13">
      <x:c r="A13" s="16" t="n">
        <x:v>10</x:v>
      </x:c>
      <x:c r="B13" s="16" t="str">
        <x:v>National University of Singapore (NUS)</x:v>
      </x:c>
      <x:c r="C13" s="16" t="str">
        <x:v>Singapore</x:v>
      </x:c>
      <x:c r="D13" s="16" t="str">
        <x:v>Singapore autonomous / government grant supported</x:v>
      </x:c>
      <x:c r="E13" s="16" t="str">
        <x:v>Yes</x:v>
      </x:c>
      <x:c r="F13" s="16" t="str">
        <x:v>Yes</x:v>
      </x:c>
      <x:c r="G13" s="16" t="str">
        <x:v>A</x:v>
      </x:c>
      <x:c r="H13" s="16" t="str">
        <x:v>FY2024/25</x:v>
      </x:c>
      <x:c r="I13" s="16" t="str"/>
    </x:row>
    <x:row r="14">
      <x:c r="A14" s="16" t="n">
        <x:v>11</x:v>
      </x:c>
      <x:c r="B14" s="16" t="str">
        <x:v>The University of Hong Kong</x:v>
      </x:c>
      <x:c r="C14" s="16" t="str">
        <x:v>Hong Kong SAR</x:v>
      </x:c>
      <x:c r="D14" s="16" t="str">
        <x:v>Hong Kong public / subvention+tuition+investment</x:v>
      </x:c>
      <x:c r="E14" s="16" t="str">
        <x:v>Yes</x:v>
      </x:c>
      <x:c r="F14" s="16" t="str">
        <x:v>Yes</x:v>
      </x:c>
      <x:c r="G14" s="16" t="str">
        <x:v>A</x:v>
      </x:c>
      <x:c r="H14" s="16" t="str">
        <x:v>FY2024/25</x:v>
      </x:c>
      <x:c r="I14" s="16" t="str"/>
    </x:row>
    <x:row r="15">
      <x:c r="A15" s="16" t="n">
        <x:v>12</x:v>
      </x:c>
      <x:c r="B15" s="16" t="str">
        <x:v>Nanyang Technological University, Singapore (NTU Singapore)</x:v>
      </x:c>
      <x:c r="C15" s="16" t="str">
        <x:v>Singapore</x:v>
      </x:c>
      <x:c r="D15" s="16" t="str">
        <x:v>Singapore autonomous / government grant supported</x:v>
      </x:c>
      <x:c r="E15" s="16" t="str">
        <x:v>No</x:v>
      </x:c>
      <x:c r="F15" s="16" t="str">
        <x:v>No</x:v>
      </x:c>
      <x:c r="G15" s="16" t="str">
        <x:v>D</x:v>
      </x:c>
      <x:c r="H15" s="16" t="str"/>
      <x:c r="I15" s="16" t="str"/>
    </x:row>
    <x:row r="16">
      <x:c r="A16" s="16" t="n">
        <x:v>13</x:v>
      </x:c>
      <x:c r="B16" s="16" t="str">
        <x:v>Peking University</x:v>
      </x:c>
      <x:c r="C16" s="16" t="str">
        <x:v>China</x:v>
      </x:c>
      <x:c r="D16" s="16" t="str">
        <x:v>China public budgetary / grants+事业收入</x:v>
      </x:c>
      <x:c r="E16" s="16" t="str">
        <x:v>Yes</x:v>
      </x:c>
      <x:c r="F16" s="16" t="str">
        <x:v>Yes</x:v>
      </x:c>
      <x:c r="G16" s="16" t="str">
        <x:v>A</x:v>
      </x:c>
      <x:c r="H16" s="16" t="str">
        <x:v>FY2025 final accounts</x:v>
      </x:c>
      <x:c r="I16" s="16" t="str"/>
    </x:row>
    <x:row r="17">
      <x:c r="A17" s="16" t="n">
        <x:v>14</x:v>
      </x:c>
      <x:c r="B17" s="16" t="str">
        <x:v>Tsinghua University</x:v>
      </x:c>
      <x:c r="C17" s="16" t="str">
        <x:v>China</x:v>
      </x:c>
      <x:c r="D17" s="16" t="str">
        <x:v>China public budgetary / grants+事业收入</x:v>
      </x:c>
      <x:c r="E17" s="16" t="str">
        <x:v>Yes</x:v>
      </x:c>
      <x:c r="F17" s="16" t="str">
        <x:v>Yes</x:v>
      </x:c>
      <x:c r="G17" s="16" t="str">
        <x:v>A</x:v>
      </x:c>
      <x:c r="H17" s="16" t="str">
        <x:v>FY2025 final accounts</x:v>
      </x:c>
      <x:c r="I17" s="16" t="str"/>
    </x:row>
    <x:row r="18">
      <x:c r="A18" s="16" t="n">
        <x:v>15</x:v>
      </x:c>
      <x:c r="B18" s="16" t="str">
        <x:v>University of Pennsylvania</x:v>
      </x:c>
      <x:c r="C18" s="16" t="str">
        <x:v>United States</x:v>
      </x:c>
      <x:c r="D18" s="16" t="str">
        <x:v>US private/nonprofit research</x:v>
      </x:c>
      <x:c r="E18" s="16" t="str">
        <x:v>Yes</x:v>
      </x:c>
      <x:c r="F18" s="16" t="str">
        <x:v>Yes</x:v>
      </x:c>
      <x:c r="G18" s="16" t="str">
        <x:v>A</x:v>
      </x:c>
      <x:c r="H18" s="16" t="str">
        <x:v>FY2024</x:v>
      </x:c>
      <x:c r="I18" s="16" t="str"/>
    </x:row>
    <x:row r="19">
      <x:c r="A19" s="16" t="n">
        <x:v>16</x:v>
      </x:c>
      <x:c r="B19" s="16" t="str">
        <x:v>Cornell University</x:v>
      </x:c>
      <x:c r="C19" s="16" t="str">
        <x:v>United States</x:v>
      </x:c>
      <x:c r="D19" s="16" t="str">
        <x:v>US private/nonprofit research</x:v>
      </x:c>
      <x:c r="E19" s="16" t="str">
        <x:v>Yes</x:v>
      </x:c>
      <x:c r="F19" s="16" t="str">
        <x:v>Yes</x:v>
      </x:c>
      <x:c r="G19" s="16" t="str">
        <x:v>A</x:v>
      </x:c>
      <x:c r="H19" s="16" t="str">
        <x:v>FY2025</x:v>
      </x:c>
      <x:c r="I19" s="16" t="str"/>
    </x:row>
    <x:row r="20">
      <x:c r="A20" s="16" t="n">
        <x:v>16</x:v>
      </x:c>
      <x:c r="B20" s="16" t="str">
        <x:v>Yale University</x:v>
      </x:c>
      <x:c r="C20" s="16" t="str">
        <x:v>United States</x:v>
      </x:c>
      <x:c r="D20" s="16" t="str">
        <x:v>US private/nonprofit research</x:v>
      </x:c>
      <x:c r="E20" s="16" t="str">
        <x:v>Yes</x:v>
      </x:c>
      <x:c r="F20" s="16" t="str">
        <x:v>No</x:v>
      </x:c>
      <x:c r="G20" s="16" t="str">
        <x:v>A</x:v>
      </x:c>
      <x:c r="H20" s="16" t="str">
        <x:v>FY2024</x:v>
      </x:c>
      <x:c r="I20" s="16" t="str"/>
    </x:row>
    <x:row r="21">
      <x:c r="A21" s="16" t="n">
        <x:v>18</x:v>
      </x:c>
      <x:c r="B21" s="16" t="str">
        <x:v>The Chinese University of Hong Kong (CUHK)</x:v>
      </x:c>
      <x:c r="C21" s="16" t="str">
        <x:v>Hong Kong SAR</x:v>
      </x:c>
      <x:c r="D21" s="16" t="str">
        <x:v>Hong Kong public / subvention+tuition+investment</x:v>
      </x:c>
      <x:c r="E21" s="16" t="str">
        <x:v>No</x:v>
      </x:c>
      <x:c r="F21" s="16" t="str">
        <x:v>No</x:v>
      </x:c>
      <x:c r="G21" s="16" t="str">
        <x:v>D</x:v>
      </x:c>
      <x:c r="H21" s="16" t="str"/>
      <x:c r="I21" s="16" t="str"/>
    </x:row>
    <x:row r="22">
      <x:c r="A22" s="16" t="n">
        <x:v>19</x:v>
      </x:c>
      <x:c r="B22" s="16" t="str">
        <x:v>The University of New South Wales (UNSW Sydney)</x:v>
      </x:c>
      <x:c r="C22" s="16" t="str">
        <x:v>Australia</x:v>
      </x:c>
      <x:c r="D22" s="16" t="str">
        <x:v>Australia public / fee+government</x:v>
      </x:c>
      <x:c r="E22" s="16" t="str">
        <x:v>Yes</x:v>
      </x:c>
      <x:c r="F22" s="16" t="str">
        <x:v>Yes</x:v>
      </x:c>
      <x:c r="G22" s="16" t="str">
        <x:v>A</x:v>
      </x:c>
      <x:c r="H22" s="16" t="str">
        <x:v>FY2024</x:v>
      </x:c>
      <x:c r="I22" s="16" t="str"/>
    </x:row>
    <x:row r="23">
      <x:c r="A23" s="16" t="n">
        <x:v>20</x:v>
      </x:c>
      <x:c r="B23" s="16" t="str">
        <x:v>Johns Hopkins University</x:v>
      </x:c>
      <x:c r="C23" s="16" t="str">
        <x:v>United States</x:v>
      </x:c>
      <x:c r="D23" s="16" t="str">
        <x:v>US private/nonprofit research</x:v>
      </x:c>
      <x:c r="E23" s="16" t="str">
        <x:v>No</x:v>
      </x:c>
      <x:c r="F23" s="16" t="str">
        <x:v>No</x:v>
      </x:c>
      <x:c r="G23" s="16" t="str">
        <x:v>C</x:v>
      </x:c>
      <x:c r="H23" s="16" t="str"/>
      <x:c r="I23" s="16" t="str"/>
    </x:row>
    <x:row r="24">
      <x:c r="A24" s="16" t="n">
        <x:v>20</x:v>
      </x:c>
      <x:c r="B24" s="16" t="str">
        <x:v>University of California, Berkeley (UCB)</x:v>
      </x:c>
      <x:c r="C24" s="16" t="str">
        <x:v>United States</x:v>
      </x:c>
      <x:c r="D24" s="16" t="str">
        <x:v>US public research</x:v>
      </x:c>
      <x:c r="E24" s="16" t="str">
        <x:v>No</x:v>
      </x:c>
      <x:c r="F24" s="16" t="str">
        <x:v>No</x:v>
      </x:c>
      <x:c r="G24" s="16" t="str">
        <x:v>C</x:v>
      </x:c>
      <x:c r="H24" s="16" t="str"/>
      <x:c r="I24" s="16" t="str"/>
    </x:row>
    <x:row r="25">
      <x:c r="A25" s="16" t="n">
        <x:v>22</x:v>
      </x:c>
      <x:c r="B25" s="16" t="str">
        <x:v>EPFL</x:v>
      </x:c>
      <x:c r="C25" s="16" t="str">
        <x:v>Switzerland</x:v>
      </x:c>
      <x:c r="D25" s="16" t="str">
        <x:v>Continental Europe public/core funding+third-party research</x:v>
      </x:c>
      <x:c r="E25" s="16" t="str">
        <x:v>No</x:v>
      </x:c>
      <x:c r="F25" s="16" t="str">
        <x:v>No</x:v>
      </x:c>
      <x:c r="G25" s="16" t="str">
        <x:v>D</x:v>
      </x:c>
      <x:c r="H25" s="16" t="str"/>
      <x:c r="I25" s="16" t="str"/>
    </x:row>
    <x:row r="26">
      <x:c r="A26" s="16" t="n">
        <x:v>22</x:v>
      </x:c>
      <x:c r="B26" s="16" t="str">
        <x:v>The University of Melbourne</x:v>
      </x:c>
      <x:c r="C26" s="16" t="str">
        <x:v>Australia</x:v>
      </x:c>
      <x:c r="D26" s="16" t="str">
        <x:v>Australia public / fee+government</x:v>
      </x:c>
      <x:c r="E26" s="16" t="str">
        <x:v>Yes</x:v>
      </x:c>
      <x:c r="F26" s="16" t="str">
        <x:v>Yes</x:v>
      </x:c>
      <x:c r="G26" s="16" t="str">
        <x:v>A</x:v>
      </x:c>
      <x:c r="H26" s="16" t="str">
        <x:v>FY2024</x:v>
      </x:c>
      <x:c r="I26" s="16" t="str"/>
    </x:row>
    <x:row r="27">
      <x:c r="A27" s="16" t="n">
        <x:v>24</x:v>
      </x:c>
      <x:c r="B27" s="16" t="str">
        <x:v>University of Chicago</x:v>
      </x:c>
      <x:c r="C27" s="16" t="str">
        <x:v>United States</x:v>
      </x:c>
      <x:c r="D27" s="16" t="str">
        <x:v>US private/nonprofit research</x:v>
      </x:c>
      <x:c r="E27" s="16" t="str">
        <x:v>No</x:v>
      </x:c>
      <x:c r="F27" s="16" t="str">
        <x:v>No</x:v>
      </x:c>
      <x:c r="G27" s="16" t="str">
        <x:v>C</x:v>
      </x:c>
      <x:c r="H27" s="16" t="str"/>
      <x:c r="I27" s="16" t="str"/>
    </x:row>
    <x:row r="28">
      <x:c r="A28" s="16" t="n">
        <x:v>25</x:v>
      </x:c>
      <x:c r="B28" s="16" t="str">
        <x:v>Technical University of Munich</x:v>
      </x:c>
      <x:c r="C28" s="16" t="str">
        <x:v>Germany</x:v>
      </x:c>
      <x:c r="D28" s="16" t="str">
        <x:v>Continental Europe public/core funding+third-party research</x:v>
      </x:c>
      <x:c r="E28" s="16" t="str">
        <x:v>No</x:v>
      </x:c>
      <x:c r="F28" s="16" t="str">
        <x:v>No</x:v>
      </x:c>
      <x:c r="G28" s="16" t="str">
        <x:v>D</x:v>
      </x:c>
      <x:c r="H28" s="16" t="str"/>
      <x:c r="I28" s="16" t="str"/>
    </x:row>
    <x:row r="29">
      <x:c r="A29" s="16" t="n">
        <x:v>26</x:v>
      </x:c>
      <x:c r="B29" s="16" t="str">
        <x:v>Fudan University</x:v>
      </x:c>
      <x:c r="C29" s="16" t="str">
        <x:v>China</x:v>
      </x:c>
      <x:c r="D29" s="16" t="str">
        <x:v>China public budgetary / grants+事业收入</x:v>
      </x:c>
      <x:c r="E29" s="16" t="str">
        <x:v>No</x:v>
      </x:c>
      <x:c r="F29" s="16" t="str">
        <x:v>No</x:v>
      </x:c>
      <x:c r="G29" s="16" t="str">
        <x:v>D</x:v>
      </x:c>
      <x:c r="H29" s="16" t="str"/>
      <x:c r="I29" s="16" t="str"/>
    </x:row>
    <x:row r="30">
      <x:c r="A30" s="16" t="n">
        <x:v>27</x:v>
      </x:c>
      <x:c r="B30" s="16" t="str">
        <x:v>Princeton University</x:v>
      </x:c>
      <x:c r="C30" s="16" t="str">
        <x:v>United States</x:v>
      </x:c>
      <x:c r="D30" s="16" t="str">
        <x:v>US private/nonprofit research</x:v>
      </x:c>
      <x:c r="E30" s="16" t="str">
        <x:v>No</x:v>
      </x:c>
      <x:c r="F30" s="16" t="str">
        <x:v>No</x:v>
      </x:c>
      <x:c r="G30" s="16" t="str">
        <x:v>C</x:v>
      </x:c>
      <x:c r="H30" s="16" t="str"/>
      <x:c r="I30" s="16" t="str"/>
    </x:row>
    <x:row r="31">
      <x:c r="A31" s="16" t="n">
        <x:v>28</x:v>
      </x:c>
      <x:c r="B31" s="16" t="str">
        <x:v>The University of Sydney</x:v>
      </x:c>
      <x:c r="C31" s="16" t="str">
        <x:v>Australia</x:v>
      </x:c>
      <x:c r="D31" s="16" t="str">
        <x:v>Australia public / fee+government</x:v>
      </x:c>
      <x:c r="E31" s="16" t="str">
        <x:v>Yes</x:v>
      </x:c>
      <x:c r="F31" s="16" t="str">
        <x:v>Yes</x:v>
      </x:c>
      <x:c r="G31" s="16" t="str">
        <x:v>A</x:v>
      </x:c>
      <x:c r="H31" s="16" t="str">
        <x:v>FY2024</x:v>
      </x:c>
      <x:c r="I31" s="16" t="str"/>
    </x:row>
    <x:row r="32">
      <x:c r="A32" s="16" t="n">
        <x:v>29</x:v>
      </x:c>
      <x:c r="B32" s="16" t="str">
        <x:v>Australian National University (ANU)</x:v>
      </x:c>
      <x:c r="C32" s="16" t="str">
        <x:v>Australia</x:v>
      </x:c>
      <x:c r="D32" s="16" t="str">
        <x:v>Australia public / fee+government</x:v>
      </x:c>
      <x:c r="E32" s="16" t="str">
        <x:v>Yes</x:v>
      </x:c>
      <x:c r="F32" s="16" t="str">
        <x:v>Yes</x:v>
      </x:c>
      <x:c r="G32" s="16" t="str">
        <x:v>A</x:v>
      </x:c>
      <x:c r="H32" s="16" t="str">
        <x:v>FY2024</x:v>
      </x:c>
      <x:c r="I32" s="16" t="str"/>
    </x:row>
    <x:row r="33">
      <x:c r="A33" s="16" t="n">
        <x:v>30</x:v>
      </x:c>
      <x:c r="B33" s="16" t="str">
        <x:v>McGill University</x:v>
      </x:c>
      <x:c r="C33" s="16" t="str">
        <x:v>Canada</x:v>
      </x:c>
      <x:c r="D33" s="16" t="str">
        <x:v>Canada public / provincial grants+tuition+research</x:v>
      </x:c>
      <x:c r="E33" s="16" t="str">
        <x:v>No</x:v>
      </x:c>
      <x:c r="F33" s="16" t="str">
        <x:v>No</x:v>
      </x:c>
      <x:c r="G33" s="16" t="str">
        <x:v>C</x:v>
      </x:c>
      <x:c r="H33" s="16" t="str"/>
      <x:c r="I33" s="16" t="str"/>
    </x:row>
    <x:row r="34">
      <x:c r="A34" s="16" t="n">
        <x:v>31</x:v>
      </x:c>
      <x:c r="B34" s="16" t="str">
        <x:v>Monash University</x:v>
      </x:c>
      <x:c r="C34" s="16" t="str">
        <x:v>Australia</x:v>
      </x:c>
      <x:c r="D34" s="16" t="str">
        <x:v>Australia public / fee+government</x:v>
      </x:c>
      <x:c r="E34" s="16" t="str">
        <x:v>Yes</x:v>
      </x:c>
      <x:c r="F34" s="16" t="str">
        <x:v>Yes</x:v>
      </x:c>
      <x:c r="G34" s="16" t="str">
        <x:v>A</x:v>
      </x:c>
      <x:c r="H34" s="16" t="str">
        <x:v>FY2024</x:v>
      </x:c>
      <x:c r="I34" s="16" t="str"/>
    </x:row>
    <x:row r="35">
      <x:c r="A35" s="16" t="n">
        <x:v>32</x:v>
      </x:c>
      <x:c r="B35" s="16" t="str">
        <x:v>University of Toronto</x:v>
      </x:c>
      <x:c r="C35" s="16" t="str">
        <x:v>Canada</x:v>
      </x:c>
      <x:c r="D35" s="16" t="str">
        <x:v>Canada public / provincial grants+tuition+research</x:v>
      </x:c>
      <x:c r="E35" s="16" t="str">
        <x:v>No</x:v>
      </x:c>
      <x:c r="F35" s="16" t="str">
        <x:v>No</x:v>
      </x:c>
      <x:c r="G35" s="16" t="str">
        <x:v>C</x:v>
      </x:c>
      <x:c r="H35" s="16" t="str"/>
      <x:c r="I35" s="16" t="str"/>
    </x:row>
    <x:row r="36">
      <x:c r="A36" s="16" t="n">
        <x:v>33</x:v>
      </x:c>
      <x:c r="B36" s="16" t="str">
        <x:v>The Hong Kong University of Science and Technology</x:v>
      </x:c>
      <x:c r="C36" s="16" t="str">
        <x:v>Hong Kong SAR</x:v>
      </x:c>
      <x:c r="D36" s="16" t="str">
        <x:v>Hong Kong public / subvention+tuition+investment</x:v>
      </x:c>
      <x:c r="E36" s="16" t="str">
        <x:v>No</x:v>
      </x:c>
      <x:c r="F36" s="16" t="str">
        <x:v>No</x:v>
      </x:c>
      <x:c r="G36" s="16" t="str">
        <x:v>D</x:v>
      </x:c>
      <x:c r="H36" s="16" t="str"/>
      <x:c r="I36" s="16" t="str"/>
    </x:row>
    <x:row r="37">
      <x:c r="A37" s="16" t="n">
        <x:v>34</x:v>
      </x:c>
      <x:c r="B37" s="16" t="str">
        <x:v>Université PSL</x:v>
      </x:c>
      <x:c r="C37" s="16" t="str">
        <x:v>France</x:v>
      </x:c>
      <x:c r="D37" s="16" t="str">
        <x:v>Continental Europe public/core funding+third-party research</x:v>
      </x:c>
      <x:c r="E37" s="16" t="str">
        <x:v>No</x:v>
      </x:c>
      <x:c r="F37" s="16" t="str">
        <x:v>No</x:v>
      </x:c>
      <x:c r="G37" s="16" t="str">
        <x:v>D</x:v>
      </x:c>
      <x:c r="H37" s="16" t="str"/>
      <x:c r="I37" s="16" t="str"/>
    </x:row>
    <x:row r="38">
      <x:c r="A38" s="16" t="n">
        <x:v>35</x:v>
      </x:c>
      <x:c r="B38" s="16" t="str">
        <x:v>The University of Edinburgh</x:v>
      </x:c>
      <x:c r="C38" s="16" t="str">
        <x:v>United Kingdom</x:v>
      </x:c>
      <x:c r="D38" s="16" t="str">
        <x:v>UK public research / tuition+research</x:v>
      </x:c>
      <x:c r="E38" s="16" t="str">
        <x:v>No</x:v>
      </x:c>
      <x:c r="F38" s="16" t="str">
        <x:v>No</x:v>
      </x:c>
      <x:c r="G38" s="16" t="str">
        <x:v>C</x:v>
      </x:c>
      <x:c r="H38" s="16" t="str"/>
      <x:c r="I38" s="16" t="str"/>
    </x:row>
    <x:row r="39">
      <x:c r="A39" s="16" t="n">
        <x:v>36</x:v>
      </x:c>
      <x:c r="B39" s="16" t="str">
        <x:v>Shanghai Jiao Tong University</x:v>
      </x:c>
      <x:c r="C39" s="16" t="str">
        <x:v>China</x:v>
      </x:c>
      <x:c r="D39" s="16" t="str">
        <x:v>China public budgetary / grants+事业收入</x:v>
      </x:c>
      <x:c r="E39" s="16" t="str">
        <x:v>No</x:v>
      </x:c>
      <x:c r="F39" s="16" t="str">
        <x:v>No</x:v>
      </x:c>
      <x:c r="G39" s="16" t="str">
        <x:v>D</x:v>
      </x:c>
      <x:c r="H39" s="16" t="str"/>
      <x:c r="I39" s="16" t="str"/>
    </x:row>
    <x:row r="40">
      <x:c r="A40" s="16" t="n">
        <x:v>37</x:v>
      </x:c>
      <x:c r="B40" s="16" t="str">
        <x:v>King's College London</x:v>
      </x:c>
      <x:c r="C40" s="16" t="str">
        <x:v>United Kingdom</x:v>
      </x:c>
      <x:c r="D40" s="16" t="str">
        <x:v>UK public research / tuition+research</x:v>
      </x:c>
      <x:c r="E40" s="16" t="str">
        <x:v>No</x:v>
      </x:c>
      <x:c r="F40" s="16" t="str">
        <x:v>No</x:v>
      </x:c>
      <x:c r="G40" s="16" t="str">
        <x:v>C</x:v>
      </x:c>
      <x:c r="H40" s="16" t="str"/>
      <x:c r="I40" s="16" t="str"/>
    </x:row>
    <x:row r="41">
      <x:c r="A41" s="16" t="n">
        <x:v>38</x:v>
      </x:c>
      <x:c r="B41" s="16" t="str">
        <x:v>Seoul National University</x:v>
      </x:c>
      <x:c r="C41" s="16" t="str">
        <x:v>South Korea</x:v>
      </x:c>
      <x:c r="D41" s="16" t="str">
        <x:v>Korea national/private mixed research</x:v>
      </x:c>
      <x:c r="E41" s="16" t="str">
        <x:v>No</x:v>
      </x:c>
      <x:c r="F41" s="16" t="str">
        <x:v>No</x:v>
      </x:c>
      <x:c r="G41" s="16" t="str">
        <x:v>D</x:v>
      </x:c>
      <x:c r="H41" s="16" t="str"/>
      <x:c r="I41" s="16" t="str"/>
    </x:row>
    <x:row r="42">
      <x:c r="A42" s="16" t="n">
        <x:v>39</x:v>
      </x:c>
      <x:c r="B42" s="16" t="str">
        <x:v>The University of Tokyo</x:v>
      </x:c>
      <x:c r="C42" s="16" t="str">
        <x:v>Japan</x:v>
      </x:c>
      <x:c r="D42" s="16" t="str">
        <x:v>Japan national/private mixed research</x:v>
      </x:c>
      <x:c r="E42" s="16" t="str">
        <x:v>No</x:v>
      </x:c>
      <x:c r="F42" s="16" t="str">
        <x:v>No</x:v>
      </x:c>
      <x:c r="G42" s="16" t="str">
        <x:v>D</x:v>
      </x:c>
      <x:c r="H42" s="16" t="str"/>
      <x:c r="I42" s="16" t="str"/>
    </x:row>
    <x:row r="43">
      <x:c r="A43" s="16" t="n">
        <x:v>40</x:v>
      </x:c>
      <x:c r="B43" s="16" t="str">
        <x:v>The University of Manchester</x:v>
      </x:c>
      <x:c r="C43" s="16" t="str">
        <x:v>United Kingdom</x:v>
      </x:c>
      <x:c r="D43" s="16" t="str">
        <x:v>UK public research / tuition+research</x:v>
      </x:c>
      <x:c r="E43" s="16" t="str">
        <x:v>No</x:v>
      </x:c>
      <x:c r="F43" s="16" t="str">
        <x:v>No</x:v>
      </x:c>
      <x:c r="G43" s="16" t="str">
        <x:v>C</x:v>
      </x:c>
      <x:c r="H43" s="16" t="str"/>
      <x:c r="I43" s="16" t="str"/>
    </x:row>
    <x:row r="44">
      <x:c r="A44" s="16" t="n">
        <x:v>40</x:v>
      </x:c>
      <x:c r="B44" s="16" t="str">
        <x:v>The University of Queensland</x:v>
      </x:c>
      <x:c r="C44" s="16" t="str">
        <x:v>Australia</x:v>
      </x:c>
      <x:c r="D44" s="16" t="str">
        <x:v>Australia public / fee+government</x:v>
      </x:c>
      <x:c r="E44" s="16" t="str">
        <x:v>Yes</x:v>
      </x:c>
      <x:c r="F44" s="16" t="str">
        <x:v>Yes</x:v>
      </x:c>
      <x:c r="G44" s="16" t="str">
        <x:v>A</x:v>
      </x:c>
      <x:c r="H44" s="16" t="str">
        <x:v>FY2024</x:v>
      </x:c>
      <x:c r="I44" s="16" t="str"/>
    </x:row>
    <x:row r="45">
      <x:c r="A45" s="16" t="n">
        <x:v>42</x:v>
      </x:c>
      <x:c r="B45" s="16" t="str">
        <x:v>Yonsei University</x:v>
      </x:c>
      <x:c r="C45" s="16" t="str">
        <x:v>South Korea</x:v>
      </x:c>
      <x:c r="D45" s="16" t="str">
        <x:v>Korea national/private mixed research</x:v>
      </x:c>
      <x:c r="E45" s="16" t="str">
        <x:v>No</x:v>
      </x:c>
      <x:c r="F45" s="16" t="str">
        <x:v>No</x:v>
      </x:c>
      <x:c r="G45" s="16" t="str">
        <x:v>D</x:v>
      </x:c>
      <x:c r="H45" s="16" t="str"/>
      <x:c r="I45" s="16" t="str"/>
    </x:row>
    <x:row r="46">
      <x:c r="A46" s="16" t="n">
        <x:v>43</x:v>
      </x:c>
      <x:c r="B46" s="16" t="str">
        <x:v>Columbia University</x:v>
      </x:c>
      <x:c r="C46" s="16" t="str">
        <x:v>United States</x:v>
      </x:c>
      <x:c r="D46" s="16" t="str">
        <x:v>US private/nonprofit research</x:v>
      </x:c>
      <x:c r="E46" s="16" t="str">
        <x:v>No</x:v>
      </x:c>
      <x:c r="F46" s="16" t="str">
        <x:v>No</x:v>
      </x:c>
      <x:c r="G46" s="16" t="str">
        <x:v>C</x:v>
      </x:c>
      <x:c r="H46" s="16" t="str"/>
      <x:c r="I46" s="16" t="str"/>
    </x:row>
    <x:row r="47">
      <x:c r="A47" s="16" t="n">
        <x:v>43</x:v>
      </x:c>
      <x:c r="B47" s="16" t="str">
        <x:v>Institut Polytechnique de Paris</x:v>
      </x:c>
      <x:c r="C47" s="16" t="str">
        <x:v>France</x:v>
      </x:c>
      <x:c r="D47" s="16" t="str">
        <x:v>Continental Europe public/core funding+third-party research</x:v>
      </x:c>
      <x:c r="E47" s="16" t="str">
        <x:v>No</x:v>
      </x:c>
      <x:c r="F47" s="16" t="str">
        <x:v>No</x:v>
      </x:c>
      <x:c r="G47" s="16" t="str">
        <x:v>D</x:v>
      </x:c>
      <x:c r="H47" s="16" t="str"/>
      <x:c r="I47" s="16" t="str"/>
    </x:row>
    <x:row r="48">
      <x:c r="A48" s="16" t="n">
        <x:v>45</x:v>
      </x:c>
      <x:c r="B48" s="16" t="str">
        <x:v>Northwestern University</x:v>
      </x:c>
      <x:c r="C48" s="16" t="str">
        <x:v>United States</x:v>
      </x:c>
      <x:c r="D48" s="16" t="str">
        <x:v>US private/nonprofit research</x:v>
      </x:c>
      <x:c r="E48" s="16" t="str">
        <x:v>No</x:v>
      </x:c>
      <x:c r="F48" s="16" t="str">
        <x:v>No</x:v>
      </x:c>
      <x:c r="G48" s="16" t="str">
        <x:v>C</x:v>
      </x:c>
      <x:c r="H48" s="16" t="str"/>
      <x:c r="I48" s="16" t="str"/>
    </x:row>
    <x:row r="49">
      <x:c r="A49" s="16" t="n">
        <x:v>45</x:v>
      </x:c>
      <x:c r="B49" s="16" t="str">
        <x:v>University of British Columbia</x:v>
      </x:c>
      <x:c r="C49" s="16" t="str">
        <x:v>Canada</x:v>
      </x:c>
      <x:c r="D49" s="16" t="str">
        <x:v>Canada public / provincial grants+tuition+research</x:v>
      </x:c>
      <x:c r="E49" s="16" t="str">
        <x:v>No</x:v>
      </x:c>
      <x:c r="F49" s="16" t="str">
        <x:v>No</x:v>
      </x:c>
      <x:c r="G49" s="16" t="str">
        <x:v>C</x:v>
      </x:c>
      <x:c r="H49" s="16" t="str"/>
      <x:c r="I49" s="16" t="str"/>
    </x:row>
    <x:row r="50">
      <x:c r="A50" s="16" t="n">
        <x:v>47</x:v>
      </x:c>
      <x:c r="B50" s="16" t="str">
        <x:v>Zhejiang University</x:v>
      </x:c>
      <x:c r="C50" s="16" t="str">
        <x:v>China</x:v>
      </x:c>
      <x:c r="D50" s="16" t="str">
        <x:v>China public budgetary / grants+事业收入</x:v>
      </x:c>
      <x:c r="E50" s="16" t="str">
        <x:v>No</x:v>
      </x:c>
      <x:c r="F50" s="16" t="str">
        <x:v>No</x:v>
      </x:c>
      <x:c r="G50" s="16" t="str">
        <x:v>D</x:v>
      </x:c>
      <x:c r="H50" s="16" t="str"/>
      <x:c r="I50" s="16" t="str"/>
    </x:row>
    <x:row r="51">
      <x:c r="A51" s="16" t="n">
        <x:v>48</x:v>
      </x:c>
      <x:c r="B51" s="16" t="str">
        <x:v>Delft University of Technology</x:v>
      </x:c>
      <x:c r="C51" s="16" t="str">
        <x:v>Netherlands</x:v>
      </x:c>
      <x:c r="D51" s="16" t="str">
        <x:v>Continental Europe public/core funding+third-party research</x:v>
      </x:c>
      <x:c r="E51" s="16" t="str">
        <x:v>No</x:v>
      </x:c>
      <x:c r="F51" s="16" t="str">
        <x:v>No</x:v>
      </x:c>
      <x:c r="G51" s="16" t="str">
        <x:v>D</x:v>
      </x:c>
      <x:c r="H51" s="16" t="str"/>
      <x:c r="I51" s="16" t="str"/>
    </x:row>
    <x:row r="52">
      <x:c r="A52" s="16" t="n">
        <x:v>49</x:v>
      </x:c>
      <x:c r="B52" s="16" t="str">
        <x:v>University of California, Los Angeles (UCLA)</x:v>
      </x:c>
      <x:c r="C52" s="16" t="str">
        <x:v>United States</x:v>
      </x:c>
      <x:c r="D52" s="16" t="str">
        <x:v>US public research</x:v>
      </x:c>
      <x:c r="E52" s="16" t="str">
        <x:v>No</x:v>
      </x:c>
      <x:c r="F52" s="16" t="str">
        <x:v>No</x:v>
      </x:c>
      <x:c r="G52" s="16" t="str">
        <x:v>C</x:v>
      </x:c>
      <x:c r="H52" s="16" t="str"/>
      <x:c r="I52" s="16" t="str"/>
    </x:row>
    <x:row r="53">
      <x:c r="A53" s="16" t="n">
        <x:v>50</x:v>
      </x:c>
      <x:c r="B53" s="16" t="str">
        <x:v>The Hong Kong Polytechnic University</x:v>
      </x:c>
      <x:c r="C53" s="16" t="str">
        <x:v>Hong Kong SAR</x:v>
      </x:c>
      <x:c r="D53" s="16" t="str">
        <x:v>Hong Kong public / subvention+tuition+investment</x:v>
      </x:c>
      <x:c r="E53" s="16" t="str">
        <x:v>No</x:v>
      </x:c>
      <x:c r="F53" s="16" t="str">
        <x:v>No</x:v>
      </x:c>
      <x:c r="G53" s="16" t="str">
        <x:v>D</x:v>
      </x:c>
      <x:c r="H53" s="16" t="str"/>
      <x:c r="I53" s="16" t="str"/>
    </x:row>
    <x:row r="54">
      <x:c r="A54" s="16" t="n">
        <x:v>51</x:v>
      </x:c>
      <x:c r="B54" s="16" t="str">
        <x:v>University of Michigan-Ann Arbor</x:v>
      </x:c>
      <x:c r="C54" s="16" t="str">
        <x:v>United States</x:v>
      </x:c>
      <x:c r="D54" s="16" t="str">
        <x:v>US public research</x:v>
      </x:c>
      <x:c r="E54" s="16" t="str">
        <x:v>No</x:v>
      </x:c>
      <x:c r="F54" s="16" t="str">
        <x:v>No</x:v>
      </x:c>
      <x:c r="G54" s="16" t="str">
        <x:v>C</x:v>
      </x:c>
      <x:c r="H54" s="16" t="str"/>
      <x:c r="I54" s="16" t="str"/>
    </x:row>
    <x:row r="55">
      <x:c r="A55" s="16" t="n">
        <x:v>52</x:v>
      </x:c>
      <x:c r="B55" s="16" t="str">
        <x:v>City University of Hong Kong (CityUHK)</x:v>
      </x:c>
      <x:c r="C55" s="16" t="str">
        <x:v>Hong Kong SAR</x:v>
      </x:c>
      <x:c r="D55" s="16" t="str">
        <x:v>Hong Kong public / subvention+tuition+investment</x:v>
      </x:c>
      <x:c r="E55" s="16" t="str">
        <x:v>No</x:v>
      </x:c>
      <x:c r="F55" s="16" t="str">
        <x:v>No</x:v>
      </x:c>
      <x:c r="G55" s="16" t="str">
        <x:v>D</x:v>
      </x:c>
      <x:c r="H55" s="16" t="str"/>
      <x:c r="I55" s="16" t="str"/>
    </x:row>
    <x:row r="56">
      <x:c r="A56" s="16" t="n">
        <x:v>52</x:v>
      </x:c>
      <x:c r="B56" s="16" t="str">
        <x:v>Korea University</x:v>
      </x:c>
      <x:c r="C56" s="16" t="str">
        <x:v>South Korea</x:v>
      </x:c>
      <x:c r="D56" s="16" t="str">
        <x:v>Korea national/private mixed research</x:v>
      </x:c>
      <x:c r="E56" s="16" t="str">
        <x:v>No</x:v>
      </x:c>
      <x:c r="F56" s="16" t="str">
        <x:v>No</x:v>
      </x:c>
      <x:c r="G56" s="16" t="str">
        <x:v>D</x:v>
      </x:c>
      <x:c r="H56" s="16" t="str"/>
      <x:c r="I56" s="16" t="str"/>
    </x:row>
    <x:row r="57">
      <x:c r="A57" s="16" t="n">
        <x:v>54</x:v>
      </x:c>
      <x:c r="B57" s="16" t="str">
        <x:v>National Taiwan University (NTU)</x:v>
      </x:c>
      <x:c r="C57" s="16" t="str">
        <x:v>Taiwan</x:v>
      </x:c>
      <x:c r="D57" s="16" t="str">
        <x:v>Other national model / requires local reporting context</x:v>
      </x:c>
      <x:c r="E57" s="16" t="str">
        <x:v>No</x:v>
      </x:c>
      <x:c r="F57" s="16" t="str">
        <x:v>No</x:v>
      </x:c>
      <x:c r="G57" s="16" t="str">
        <x:v>D</x:v>
      </x:c>
      <x:c r="H57" s="16" t="str"/>
      <x:c r="I57" s="16" t="str"/>
    </x:row>
    <x:row r="58">
      <x:c r="A58" s="16" t="n">
        <x:v>55</x:v>
      </x:c>
      <x:c r="B58" s="16" t="str">
        <x:v>Carnegie Mellon University</x:v>
      </x:c>
      <x:c r="C58" s="16" t="str">
        <x:v>United States</x:v>
      </x:c>
      <x:c r="D58" s="16" t="str">
        <x:v>US private/nonprofit research</x:v>
      </x:c>
      <x:c r="E58" s="16" t="str">
        <x:v>No</x:v>
      </x:c>
      <x:c r="F58" s="16" t="str">
        <x:v>No</x:v>
      </x:c>
      <x:c r="G58" s="16" t="str">
        <x:v>C</x:v>
      </x:c>
      <x:c r="H58" s="16" t="str"/>
      <x:c r="I58" s="16" t="str"/>
    </x:row>
    <x:row r="59">
      <x:c r="A59" s="16" t="n">
        <x:v>56</x:v>
      </x:c>
      <x:c r="B59" s="16" t="str">
        <x:v>Universiti Malaya (UM)</x:v>
      </x:c>
      <x:c r="C59" s="16" t="str">
        <x:v>Malaysia</x:v>
      </x:c>
      <x:c r="D59" s="16" t="str">
        <x:v>Other national model / requires local reporting context</x:v>
      </x:c>
      <x:c r="E59" s="16" t="str">
        <x:v>No</x:v>
      </x:c>
      <x:c r="F59" s="16" t="str">
        <x:v>No</x:v>
      </x:c>
      <x:c r="G59" s="16" t="str">
        <x:v>D</x:v>
      </x:c>
      <x:c r="H59" s="16" t="str"/>
      <x:c r="I59" s="16" t="str"/>
    </x:row>
    <x:row r="60">
      <x:c r="A60" s="16" t="n">
        <x:v>57</x:v>
      </x:c>
      <x:c r="B60" s="16" t="str">
        <x:v>University of Bristol</x:v>
      </x:c>
      <x:c r="C60" s="16" t="str">
        <x:v>United Kingdom</x:v>
      </x:c>
      <x:c r="D60" s="16" t="str">
        <x:v>UK public research / tuition+research</x:v>
      </x:c>
      <x:c r="E60" s="16" t="str">
        <x:v>No</x:v>
      </x:c>
      <x:c r="F60" s="16" t="str">
        <x:v>No</x:v>
      </x:c>
      <x:c r="G60" s="16" t="str">
        <x:v>C</x:v>
      </x:c>
      <x:c r="H60" s="16" t="str"/>
      <x:c r="I60" s="16" t="str"/>
    </x:row>
    <x:row r="61">
      <x:c r="A61" s="16" t="n">
        <x:v>58</x:v>
      </x:c>
      <x:c r="B61" s="16" t="str">
        <x:v>New York University (NYU)</x:v>
      </x:c>
      <x:c r="C61" s="16" t="str">
        <x:v>United States</x:v>
      </x:c>
      <x:c r="D61" s="16" t="str">
        <x:v>US private/nonprofit research</x:v>
      </x:c>
      <x:c r="E61" s="16" t="str">
        <x:v>No</x:v>
      </x:c>
      <x:c r="F61" s="16" t="str">
        <x:v>No</x:v>
      </x:c>
      <x:c r="G61" s="16" t="str">
        <x:v>C</x:v>
      </x:c>
      <x:c r="H61" s="16" t="str"/>
      <x:c r="I61" s="16" t="str"/>
    </x:row>
    <x:row r="62">
      <x:c r="A62" s="16" t="n">
        <x:v>59</x:v>
      </x:c>
      <x:c r="B62" s="16" t="str">
        <x:v>KU Leuven</x:v>
      </x:c>
      <x:c r="C62" s="16" t="str">
        <x:v>Belgium</x:v>
      </x:c>
      <x:c r="D62" s="16" t="str">
        <x:v>Continental Europe public/core funding+third-party research</x:v>
      </x:c>
      <x:c r="E62" s="16" t="str">
        <x:v>No</x:v>
      </x:c>
      <x:c r="F62" s="16" t="str">
        <x:v>No</x:v>
      </x:c>
      <x:c r="G62" s="16" t="str">
        <x:v>D</x:v>
      </x:c>
      <x:c r="H62" s="16" t="str"/>
      <x:c r="I62" s="16" t="str"/>
    </x:row>
    <x:row r="63">
      <x:c r="A63" s="16" t="n">
        <x:v>60</x:v>
      </x:c>
      <x:c r="B63" s="16" t="str">
        <x:v>University of Amsterdam</x:v>
      </x:c>
      <x:c r="C63" s="16" t="str">
        <x:v>Netherlands</x:v>
      </x:c>
      <x:c r="D63" s="16" t="str">
        <x:v>Continental Europe public/core funding+third-party research</x:v>
      </x:c>
      <x:c r="E63" s="16" t="str">
        <x:v>No</x:v>
      </x:c>
      <x:c r="F63" s="16" t="str">
        <x:v>No</x:v>
      </x:c>
      <x:c r="G63" s="16" t="str">
        <x:v>D</x:v>
      </x:c>
      <x:c r="H63" s="16" t="str"/>
      <x:c r="I63" s="16" t="str"/>
    </x:row>
    <x:row r="64">
      <x:c r="A64" s="16" t="n">
        <x:v>61</x:v>
      </x:c>
      <x:c r="B64" s="16" t="str">
        <x:v>Ludwig-Maximilians-Universität München</x:v>
      </x:c>
      <x:c r="C64" s="16" t="str">
        <x:v>Germany</x:v>
      </x:c>
      <x:c r="D64" s="16" t="str">
        <x:v>Continental Europe public/core funding+third-party research</x:v>
      </x:c>
      <x:c r="E64" s="16" t="str">
        <x:v>No</x:v>
      </x:c>
      <x:c r="F64" s="16" t="str">
        <x:v>No</x:v>
      </x:c>
      <x:c r="G64" s="16" t="str">
        <x:v>D</x:v>
      </x:c>
      <x:c r="H64" s="16" t="str"/>
      <x:c r="I64" s="16" t="str"/>
    </x:row>
    <x:row r="65">
      <x:c r="A65" s="16" t="n">
        <x:v>62</x:v>
      </x:c>
      <x:c r="B65" s="16" t="str">
        <x:v>The London School of Economics and Political Science (LSE)</x:v>
      </x:c>
      <x:c r="C65" s="16" t="str">
        <x:v>United Kingdom</x:v>
      </x:c>
      <x:c r="D65" s="16" t="str">
        <x:v>UK public research / tuition+research</x:v>
      </x:c>
      <x:c r="E65" s="16" t="str">
        <x:v>No</x:v>
      </x:c>
      <x:c r="F65" s="16" t="str">
        <x:v>No</x:v>
      </x:c>
      <x:c r="G65" s="16" t="str">
        <x:v>C</x:v>
      </x:c>
      <x:c r="H65" s="16" t="str"/>
      <x:c r="I65" s="16" t="str"/>
    </x:row>
    <x:row r="66">
      <x:c r="A66" s="16" t="n">
        <x:v>63</x:v>
      </x:c>
      <x:c r="B66" s="16" t="str">
        <x:v>KFUPM</x:v>
      </x:c>
      <x:c r="C66" s="16" t="str">
        <x:v>Saudi Arabia</x:v>
      </x:c>
      <x:c r="D66" s="16" t="str">
        <x:v>Other national model / requires local reporting context</x:v>
      </x:c>
      <x:c r="E66" s="16" t="str">
        <x:v>No</x:v>
      </x:c>
      <x:c r="F66" s="16" t="str">
        <x:v>No</x:v>
      </x:c>
      <x:c r="G66" s="16" t="str">
        <x:v>D</x:v>
      </x:c>
      <x:c r="H66" s="16" t="str"/>
      <x:c r="I66" s="16" t="str"/>
    </x:row>
    <x:row r="67">
      <x:c r="A67" s="16" t="n">
        <x:v>64</x:v>
      </x:c>
      <x:c r="B67" s="16" t="str">
        <x:v>Kyoto University</x:v>
      </x:c>
      <x:c r="C67" s="16" t="str">
        <x:v>Japan</x:v>
      </x:c>
      <x:c r="D67" s="16" t="str">
        <x:v>Japan national/private mixed research</x:v>
      </x:c>
      <x:c r="E67" s="16" t="str">
        <x:v>No</x:v>
      </x:c>
      <x:c r="F67" s="16" t="str">
        <x:v>No</x:v>
      </x:c>
      <x:c r="G67" s="16" t="str">
        <x:v>D</x:v>
      </x:c>
      <x:c r="H67" s="16" t="str"/>
      <x:c r="I67" s="16" t="str"/>
    </x:row>
    <x:row r="68">
      <x:c r="A68" s="16" t="n">
        <x:v>65</x:v>
      </x:c>
      <x:c r="B68" s="16" t="str">
        <x:v>KAIST</x:v>
      </x:c>
      <x:c r="C68" s="16" t="str">
        <x:v>South Korea</x:v>
      </x:c>
      <x:c r="D68" s="16" t="str">
        <x:v>Korea national/private mixed research</x:v>
      </x:c>
      <x:c r="E68" s="16" t="str">
        <x:v>No</x:v>
      </x:c>
      <x:c r="F68" s="16" t="str">
        <x:v>No</x:v>
      </x:c>
      <x:c r="G68" s="16" t="str">
        <x:v>D</x:v>
      </x:c>
      <x:c r="H68" s="16" t="str"/>
      <x:c r="I68" s="16" t="str"/>
    </x:row>
    <x:row r="69">
      <x:c r="A69" s="16" t="n">
        <x:v>66</x:v>
      </x:c>
      <x:c r="B69" s="16" t="str">
        <x:v>Brown University</x:v>
      </x:c>
      <x:c r="C69" s="16" t="str">
        <x:v>United States</x:v>
      </x:c>
      <x:c r="D69" s="16" t="str">
        <x:v>US private/nonprofit research</x:v>
      </x:c>
      <x:c r="E69" s="16" t="str">
        <x:v>No</x:v>
      </x:c>
      <x:c r="F69" s="16" t="str">
        <x:v>No</x:v>
      </x:c>
      <x:c r="G69" s="16" t="str">
        <x:v>C</x:v>
      </x:c>
      <x:c r="H69" s="16" t="str"/>
      <x:c r="I69" s="16" t="str"/>
    </x:row>
    <x:row r="70">
      <x:c r="A70" s="16" t="n">
        <x:v>67</x:v>
      </x:c>
      <x:c r="B70" s="16" t="str">
        <x:v>The University of Auckland</x:v>
      </x:c>
      <x:c r="C70" s="16" t="str">
        <x:v>New Zealand</x:v>
      </x:c>
      <x:c r="D70" s="16" t="str">
        <x:v>Other national model / requires local reporting context</x:v>
      </x:c>
      <x:c r="E70" s="16" t="str">
        <x:v>No</x:v>
      </x:c>
      <x:c r="F70" s="16" t="str">
        <x:v>No</x:v>
      </x:c>
      <x:c r="G70" s="16" t="str">
        <x:v>D</x:v>
      </x:c>
      <x:c r="H70" s="16" t="str"/>
      <x:c r="I70" s="16" t="str"/>
    </x:row>
    <x:row r="71">
      <x:c r="A71" s="16" t="n">
        <x:v>68</x:v>
      </x:c>
      <x:c r="B71" s="16" t="str">
        <x:v>University of Warwick</x:v>
      </x:c>
      <x:c r="C71" s="16" t="str">
        <x:v>United Kingdom</x:v>
      </x:c>
      <x:c r="D71" s="16" t="str">
        <x:v>UK public research / tuition+research</x:v>
      </x:c>
      <x:c r="E71" s="16" t="str">
        <x:v>No</x:v>
      </x:c>
      <x:c r="F71" s="16" t="str">
        <x:v>No</x:v>
      </x:c>
      <x:c r="G71" s="16" t="str">
        <x:v>C</x:v>
      </x:c>
      <x:c r="H71" s="16" t="str"/>
      <x:c r="I71" s="16" t="str"/>
    </x:row>
    <x:row r="72">
      <x:c r="A72" s="16" t="n">
        <x:v>68</x:v>
      </x:c>
      <x:c r="B72" s="16" t="str">
        <x:v>University of Birmingham</x:v>
      </x:c>
      <x:c r="C72" s="16" t="str">
        <x:v>United Kingdom</x:v>
      </x:c>
      <x:c r="D72" s="16" t="str">
        <x:v>UK public research / tuition+research</x:v>
      </x:c>
      <x:c r="E72" s="16" t="str">
        <x:v>No</x:v>
      </x:c>
      <x:c r="F72" s="16" t="str">
        <x:v>No</x:v>
      </x:c>
      <x:c r="G72" s="16" t="str">
        <x:v>C</x:v>
      </x:c>
      <x:c r="H72" s="16" t="str"/>
      <x:c r="I72" s="16" t="str"/>
    </x:row>
    <x:row r="73">
      <x:c r="A73" s="16" t="n">
        <x:v>70</x:v>
      </x:c>
      <x:c r="B73" s="16" t="str">
        <x:v>Duke University</x:v>
      </x:c>
      <x:c r="C73" s="16" t="str">
        <x:v>United States</x:v>
      </x:c>
      <x:c r="D73" s="16" t="str">
        <x:v>US private/nonprofit research</x:v>
      </x:c>
      <x:c r="E73" s="16" t="str">
        <x:v>No</x:v>
      </x:c>
      <x:c r="F73" s="16" t="str">
        <x:v>No</x:v>
      </x:c>
      <x:c r="G73" s="16" t="str">
        <x:v>C</x:v>
      </x:c>
      <x:c r="H73" s="16" t="str"/>
      <x:c r="I73" s="16" t="str"/>
    </x:row>
    <x:row r="74">
      <x:c r="A74" s="16" t="n">
        <x:v>71</x:v>
      </x:c>
      <x:c r="B74" s="16" t="str">
        <x:v>Lund University</x:v>
      </x:c>
      <x:c r="C74" s="16" t="str">
        <x:v>Sweden</x:v>
      </x:c>
      <x:c r="D74" s="16" t="str">
        <x:v>Continental Europe public/core funding+third-party research</x:v>
      </x:c>
      <x:c r="E74" s="16" t="str">
        <x:v>No</x:v>
      </x:c>
      <x:c r="F74" s="16" t="str">
        <x:v>No</x:v>
      </x:c>
      <x:c r="G74" s="16" t="str">
        <x:v>D</x:v>
      </x:c>
      <x:c r="H74" s="16" t="str"/>
      <x:c r="I74" s="16" t="str"/>
    </x:row>
    <x:row r="75">
      <x:c r="A75" s="16" t="n">
        <x:v>72</x:v>
      </x:c>
      <x:c r="B75" s="16" t="str">
        <x:v>University of Texas at Austin</x:v>
      </x:c>
      <x:c r="C75" s="16" t="str">
        <x:v>United States</x:v>
      </x:c>
      <x:c r="D75" s="16" t="str">
        <x:v>US public research</x:v>
      </x:c>
      <x:c r="E75" s="16" t="str">
        <x:v>No</x:v>
      </x:c>
      <x:c r="F75" s="16" t="str">
        <x:v>No</x:v>
      </x:c>
      <x:c r="G75" s="16" t="str">
        <x:v>C</x:v>
      </x:c>
      <x:c r="H75" s="16" t="str"/>
      <x:c r="I75" s="16" t="str"/>
    </x:row>
    <x:row r="76">
      <x:c r="A76" s="16" t="n">
        <x:v>73</x:v>
      </x:c>
      <x:c r="B76" s="16" t="str">
        <x:v>Sorbonne University</x:v>
      </x:c>
      <x:c r="C76" s="16" t="str">
        <x:v>France</x:v>
      </x:c>
      <x:c r="D76" s="16" t="str">
        <x:v>Continental Europe public/core funding+third-party research</x:v>
      </x:c>
      <x:c r="E76" s="16" t="str">
        <x:v>No</x:v>
      </x:c>
      <x:c r="F76" s="16" t="str">
        <x:v>No</x:v>
      </x:c>
      <x:c r="G76" s="16" t="str">
        <x:v>D</x:v>
      </x:c>
      <x:c r="H76" s="16" t="str"/>
      <x:c r="I76" s="16" t="str"/>
    </x:row>
    <x:row r="77">
      <x:c r="A77" s="16" t="n">
        <x:v>74</x:v>
      </x:c>
      <x:c r="B77" s="16" t="str">
        <x:v>University of Illinois Urbana-Champaign</x:v>
      </x:c>
      <x:c r="C77" s="16" t="str">
        <x:v>United States</x:v>
      </x:c>
      <x:c r="D77" s="16" t="str">
        <x:v>US public research</x:v>
      </x:c>
      <x:c r="E77" s="16" t="str">
        <x:v>No</x:v>
      </x:c>
      <x:c r="F77" s="16" t="str">
        <x:v>No</x:v>
      </x:c>
      <x:c r="G77" s="16" t="str">
        <x:v>C</x:v>
      </x:c>
      <x:c r="H77" s="16" t="str"/>
      <x:c r="I77" s="16" t="str"/>
    </x:row>
    <x:row r="78">
      <x:c r="A78" s="16" t="n">
        <x:v>75</x:v>
      </x:c>
      <x:c r="B78" s="16" t="str">
        <x:v>Trinity College Dublin, The University of Dublin</x:v>
      </x:c>
      <x:c r="C78" s="16" t="str">
        <x:v>Ireland</x:v>
      </x:c>
      <x:c r="D78" s="16" t="str">
        <x:v>Other national model / requires local reporting context</x:v>
      </x:c>
      <x:c r="E78" s="16" t="str">
        <x:v>No</x:v>
      </x:c>
      <x:c r="F78" s="16" t="str">
        <x:v>No</x:v>
      </x:c>
      <x:c r="G78" s="16" t="str">
        <x:v>D</x:v>
      </x:c>
      <x:c r="H78" s="16" t="str"/>
      <x:c r="I78" s="16" t="str"/>
    </x:row>
    <x:row r="79">
      <x:c r="A79" s="16" t="n">
        <x:v>76</x:v>
      </x:c>
      <x:c r="B79" s="16" t="str">
        <x:v>Université Paris-Saclay</x:v>
      </x:c>
      <x:c r="C79" s="16" t="str">
        <x:v>France</x:v>
      </x:c>
      <x:c r="D79" s="16" t="str">
        <x:v>Continental Europe public/core funding+third-party research</x:v>
      </x:c>
      <x:c r="E79" s="16" t="str">
        <x:v>No</x:v>
      </x:c>
      <x:c r="F79" s="16" t="str">
        <x:v>No</x:v>
      </x:c>
      <x:c r="G79" s="16" t="str">
        <x:v>D</x:v>
      </x:c>
      <x:c r="H79" s="16" t="str"/>
      <x:c r="I79" s="16" t="str"/>
    </x:row>
    <x:row r="80">
      <x:c r="A80" s="16" t="n">
        <x:v>77</x:v>
      </x:c>
      <x:c r="B80" s="16" t="str">
        <x:v>The University of Western Australia</x:v>
      </x:c>
      <x:c r="C80" s="16" t="str">
        <x:v>Australia</x:v>
      </x:c>
      <x:c r="D80" s="16" t="str">
        <x:v>Australia public / fee+government</x:v>
      </x:c>
      <x:c r="E80" s="16" t="str">
        <x:v>Yes</x:v>
      </x:c>
      <x:c r="F80" s="16" t="str">
        <x:v>Yes</x:v>
      </x:c>
      <x:c r="G80" s="16" t="str">
        <x:v>A</x:v>
      </x:c>
      <x:c r="H80" s="16" t="str">
        <x:v>FY2024</x:v>
      </x:c>
      <x:c r="I80" s="16" t="str"/>
    </x:row>
    <x:row r="81">
      <x:c r="A81" s="16" t="n">
        <x:v>77</x:v>
      </x:c>
      <x:c r="B81" s="16" t="str">
        <x:v>University of Leeds</x:v>
      </x:c>
      <x:c r="C81" s="16" t="str">
        <x:v>United Kingdom</x:v>
      </x:c>
      <x:c r="D81" s="16" t="str">
        <x:v>UK public research / tuition+research</x:v>
      </x:c>
      <x:c r="E81" s="16" t="str">
        <x:v>No</x:v>
      </x:c>
      <x:c r="F81" s="16" t="str">
        <x:v>No</x:v>
      </x:c>
      <x:c r="G81" s="16" t="str">
        <x:v>C</x:v>
      </x:c>
      <x:c r="H81" s="16" t="str"/>
      <x:c r="I81" s="16" t="str"/>
    </x:row>
    <x:row r="82">
      <x:c r="A82" s="16" t="n">
        <x:v>79</x:v>
      </x:c>
      <x:c r="B82" s="16" t="str">
        <x:v>Adelaide University</x:v>
      </x:c>
      <x:c r="C82" s="16" t="str">
        <x:v>Australia</x:v>
      </x:c>
      <x:c r="D82" s="16" t="str">
        <x:v>Australia public / fee+government</x:v>
      </x:c>
      <x:c r="E82" s="16" t="str">
        <x:v>No</x:v>
      </x:c>
      <x:c r="F82" s="16" t="str">
        <x:v>No</x:v>
      </x:c>
      <x:c r="G82" s="16" t="str">
        <x:v>D</x:v>
      </x:c>
      <x:c r="H82" s="16" t="str"/>
      <x:c r="I82" s="16" t="str">
        <x:v>Adelaide University is a newly merged institution; predecessor history is not treated as directly comparable.</x:v>
      </x:c>
    </x:row>
    <x:row r="83">
      <x:c r="A83" s="16" t="n">
        <x:v>80</x:v>
      </x:c>
      <x:c r="B83" s="16" t="str">
        <x:v>University of Glasgow</x:v>
      </x:c>
      <x:c r="C83" s="16" t="str">
        <x:v>United Kingdom</x:v>
      </x:c>
      <x:c r="D83" s="16" t="str">
        <x:v>UK public research / tuition+research</x:v>
      </x:c>
      <x:c r="E83" s="16" t="str">
        <x:v>No</x:v>
      </x:c>
      <x:c r="F83" s="16" t="str">
        <x:v>No</x:v>
      </x:c>
      <x:c r="G83" s="16" t="str">
        <x:v>C</x:v>
      </x:c>
      <x:c r="H83" s="16" t="str"/>
      <x:c r="I83" s="16" t="str"/>
    </x:row>
    <x:row r="84">
      <x:c r="A84" s="16" t="n">
        <x:v>81</x:v>
      </x:c>
      <x:c r="B84" s="16" t="str">
        <x:v>University of California, San Diego (UCSD)</x:v>
      </x:c>
      <x:c r="C84" s="16" t="str">
        <x:v>United States</x:v>
      </x:c>
      <x:c r="D84" s="16" t="str">
        <x:v>US public research</x:v>
      </x:c>
      <x:c r="E84" s="16" t="str">
        <x:v>No</x:v>
      </x:c>
      <x:c r="F84" s="16" t="str">
        <x:v>No</x:v>
      </x:c>
      <x:c r="G84" s="16" t="str">
        <x:v>C</x:v>
      </x:c>
      <x:c r="H84" s="16" t="str"/>
      <x:c r="I84" s="16" t="str"/>
    </x:row>
    <x:row r="85">
      <x:c r="A85" s="16" t="n">
        <x:v>82</x:v>
      </x:c>
      <x:c r="B85" s="16" t="str">
        <x:v>KTH Royal Institute of Technology</x:v>
      </x:c>
      <x:c r="C85" s="16" t="str">
        <x:v>Sweden</x:v>
      </x:c>
      <x:c r="D85" s="16" t="str">
        <x:v>Continental Europe public/core funding+third-party research</x:v>
      </x:c>
      <x:c r="E85" s="16" t="str">
        <x:v>No</x:v>
      </x:c>
      <x:c r="F85" s="16" t="str">
        <x:v>No</x:v>
      </x:c>
      <x:c r="G85" s="16" t="str">
        <x:v>D</x:v>
      </x:c>
      <x:c r="H85" s="16" t="str"/>
      <x:c r="I85" s="16" t="str"/>
    </x:row>
    <x:row r="86">
      <x:c r="A86" s="16" t="n">
        <x:v>82</x:v>
      </x:c>
      <x:c r="B86" s="16" t="str">
        <x:v>The University of Sheffield</x:v>
      </x:c>
      <x:c r="C86" s="16" t="str">
        <x:v>United Kingdom</x:v>
      </x:c>
      <x:c r="D86" s="16" t="str">
        <x:v>UK public research / tuition+research</x:v>
      </x:c>
      <x:c r="E86" s="16" t="str">
        <x:v>No</x:v>
      </x:c>
      <x:c r="F86" s="16" t="str">
        <x:v>No</x:v>
      </x:c>
      <x:c r="G86" s="16" t="str">
        <x:v>C</x:v>
      </x:c>
      <x:c r="H86" s="16" t="str"/>
      <x:c r="I86" s="16" t="str"/>
    </x:row>
    <x:row r="87">
      <x:c r="A87" s="16" t="n">
        <x:v>84</x:v>
      </x:c>
      <x:c r="B87" s="16" t="str">
        <x:v>Universidad de Buenos Aires (UBA)</x:v>
      </x:c>
      <x:c r="C87" s="16" t="str">
        <x:v>Argentina</x:v>
      </x:c>
      <x:c r="D87" s="16" t="str">
        <x:v>Other national model / requires local reporting context</x:v>
      </x:c>
      <x:c r="E87" s="16" t="str">
        <x:v>No</x:v>
      </x:c>
      <x:c r="F87" s="16" t="str">
        <x:v>No</x:v>
      </x:c>
      <x:c r="G87" s="16" t="str">
        <x:v>D</x:v>
      </x:c>
      <x:c r="H87" s="16" t="str"/>
      <x:c r="I87" s="16" t="str"/>
    </x:row>
    <x:row r="88">
      <x:c r="A88" s="16" t="n">
        <x:v>85</x:v>
      </x:c>
      <x:c r="B88" s="16" t="str">
        <x:v>Durham University</x:v>
      </x:c>
      <x:c r="C88" s="16" t="str">
        <x:v>United Kingdom</x:v>
      </x:c>
      <x:c r="D88" s="16" t="str">
        <x:v>UK public research / tuition+research</x:v>
      </x:c>
      <x:c r="E88" s="16" t="str">
        <x:v>No</x:v>
      </x:c>
      <x:c r="F88" s="16" t="str">
        <x:v>No</x:v>
      </x:c>
      <x:c r="G88" s="16" t="str">
        <x:v>C</x:v>
      </x:c>
      <x:c r="H88" s="16" t="str"/>
      <x:c r="I88" s="16" t="str"/>
    </x:row>
    <x:row r="89">
      <x:c r="A89" s="16" t="n">
        <x:v>86</x:v>
      </x:c>
      <x:c r="B89" s="16" t="str">
        <x:v>Universität Heidelberg</x:v>
      </x:c>
      <x:c r="C89" s="16" t="str">
        <x:v>Germany</x:v>
      </x:c>
      <x:c r="D89" s="16" t="str">
        <x:v>Continental Europe public/core funding+third-party research</x:v>
      </x:c>
      <x:c r="E89" s="16" t="str">
        <x:v>No</x:v>
      </x:c>
      <x:c r="F89" s="16" t="str">
        <x:v>No</x:v>
      </x:c>
      <x:c r="G89" s="16" t="str">
        <x:v>D</x:v>
      </x:c>
      <x:c r="H89" s="16" t="str"/>
      <x:c r="I89" s="16" t="str"/>
    </x:row>
    <x:row r="90">
      <x:c r="A90" s="16" t="n">
        <x:v>87</x:v>
      </x:c>
      <x:c r="B90" s="16" t="str">
        <x:v>Politecnico di Milano</x:v>
      </x:c>
      <x:c r="C90" s="16" t="str">
        <x:v>Italy</x:v>
      </x:c>
      <x:c r="D90" s="16" t="str">
        <x:v>Continental Europe public/core funding+third-party research</x:v>
      </x:c>
      <x:c r="E90" s="16" t="str">
        <x:v>No</x:v>
      </x:c>
      <x:c r="F90" s="16" t="str">
        <x:v>No</x:v>
      </x:c>
      <x:c r="G90" s="16" t="str">
        <x:v>D</x:v>
      </x:c>
      <x:c r="H90" s="16" t="str"/>
      <x:c r="I90" s="16" t="str"/>
    </x:row>
    <x:row r="91">
      <x:c r="A91" s="16" t="n">
        <x:v>87</x:v>
      </x:c>
      <x:c r="B91" s="16" t="str">
        <x:v>The University of Technology Sydney (UTS)</x:v>
      </x:c>
      <x:c r="C91" s="16" t="str">
        <x:v>Australia</x:v>
      </x:c>
      <x:c r="D91" s="16" t="str">
        <x:v>Australia public / fee+government</x:v>
      </x:c>
      <x:c r="E91" s="16" t="str">
        <x:v>Yes</x:v>
      </x:c>
      <x:c r="F91" s="16" t="str">
        <x:v>Yes</x:v>
      </x:c>
      <x:c r="G91" s="16" t="str">
        <x:v>A</x:v>
      </x:c>
      <x:c r="H91" s="16" t="str">
        <x:v>FY2024</x:v>
      </x:c>
      <x:c r="I91" s="16" t="str"/>
    </x:row>
    <x:row r="92">
      <x:c r="A92" s="16" t="n">
        <x:v>87</x:v>
      </x:c>
      <x:c r="B92" s="16" t="str">
        <x:v>Uppsala University</x:v>
      </x:c>
      <x:c r="C92" s="16" t="str">
        <x:v>Sweden</x:v>
      </x:c>
      <x:c r="D92" s="16" t="str">
        <x:v>Continental Europe public/core funding+third-party research</x:v>
      </x:c>
      <x:c r="E92" s="16" t="str">
        <x:v>No</x:v>
      </x:c>
      <x:c r="F92" s="16" t="str">
        <x:v>No</x:v>
      </x:c>
      <x:c r="G92" s="16" t="str">
        <x:v>D</x:v>
      </x:c>
      <x:c r="H92" s="16" t="str"/>
      <x:c r="I92" s="16" t="str"/>
    </x:row>
    <x:row r="93">
      <x:c r="A93" s="16" t="n">
        <x:v>90</x:v>
      </x:c>
      <x:c r="B93" s="16" t="str">
        <x:v>Nanjing University</x:v>
      </x:c>
      <x:c r="C93" s="16" t="str">
        <x:v>China</x:v>
      </x:c>
      <x:c r="D93" s="16" t="str">
        <x:v>China public budgetary / grants+事业收入</x:v>
      </x:c>
      <x:c r="E93" s="16" t="str">
        <x:v>No</x:v>
      </x:c>
      <x:c r="F93" s="16" t="str">
        <x:v>No</x:v>
      </x:c>
      <x:c r="G93" s="16" t="str">
        <x:v>D</x:v>
      </x:c>
      <x:c r="H93" s="16" t="str"/>
      <x:c r="I93" s="16" t="str"/>
    </x:row>
    <x:row r="94">
      <x:c r="A94" s="16" t="n">
        <x:v>90</x:v>
      </x:c>
      <x:c r="B94" s="16" t="str">
        <x:v>University of Copenhagen</x:v>
      </x:c>
      <x:c r="C94" s="16" t="str">
        <x:v>Denmark</x:v>
      </x:c>
      <x:c r="D94" s="16" t="str">
        <x:v>Continental Europe public/core funding+third-party research</x:v>
      </x:c>
      <x:c r="E94" s="16" t="str">
        <x:v>No</x:v>
      </x:c>
      <x:c r="F94" s="16" t="str">
        <x:v>No</x:v>
      </x:c>
      <x:c r="G94" s="16" t="str">
        <x:v>D</x:v>
      </x:c>
      <x:c r="H94" s="16" t="str"/>
      <x:c r="I94" s="16" t="str"/>
    </x:row>
    <x:row r="95">
      <x:c r="A95" s="16" t="n">
        <x:v>92</x:v>
      </x:c>
      <x:c r="B95" s="16" t="str">
        <x:v>Pennsylvania State University</x:v>
      </x:c>
      <x:c r="C95" s="16" t="str">
        <x:v>United States</x:v>
      </x:c>
      <x:c r="D95" s="16" t="str">
        <x:v>US public research</x:v>
      </x:c>
      <x:c r="E95" s="16" t="str">
        <x:v>No</x:v>
      </x:c>
      <x:c r="F95" s="16" t="str">
        <x:v>No</x:v>
      </x:c>
      <x:c r="G95" s="16" t="str">
        <x:v>C</x:v>
      </x:c>
      <x:c r="H95" s="16" t="str"/>
      <x:c r="I95" s="16" t="str"/>
    </x:row>
    <x:row r="96">
      <x:c r="A96" s="16" t="n">
        <x:v>92</x:v>
      </x:c>
      <x:c r="B96" s="16" t="str">
        <x:v>University of Washington</x:v>
      </x:c>
      <x:c r="C96" s="16" t="str">
        <x:v>United States</x:v>
      </x:c>
      <x:c r="D96" s="16" t="str">
        <x:v>US public research</x:v>
      </x:c>
      <x:c r="E96" s="16" t="str">
        <x:v>No</x:v>
      </x:c>
      <x:c r="F96" s="16" t="str">
        <x:v>No</x:v>
      </x:c>
      <x:c r="G96" s="16" t="str">
        <x:v>C</x:v>
      </x:c>
      <x:c r="H96" s="16" t="str"/>
      <x:c r="I96" s="16" t="str"/>
    </x:row>
    <x:row r="97">
      <x:c r="A97" s="16" t="n">
        <x:v>94</x:v>
      </x:c>
      <x:c r="B97" s="16" t="str">
        <x:v>Boston University</x:v>
      </x:c>
      <x:c r="C97" s="16" t="str">
        <x:v>United States</x:v>
      </x:c>
      <x:c r="D97" s="16" t="str">
        <x:v>US private/nonprofit research</x:v>
      </x:c>
      <x:c r="E97" s="16" t="str">
        <x:v>No</x:v>
      </x:c>
      <x:c r="F97" s="16" t="str">
        <x:v>No</x:v>
      </x:c>
      <x:c r="G97" s="16" t="str">
        <x:v>C</x:v>
      </x:c>
      <x:c r="H97" s="16" t="str"/>
      <x:c r="I97" s="16" t="str"/>
    </x:row>
    <x:row r="98">
      <x:c r="A98" s="16" t="n">
        <x:v>95</x:v>
      </x:c>
      <x:c r="B98" s="16" t="str">
        <x:v>The University of Osaka</x:v>
      </x:c>
      <x:c r="C98" s="16" t="str">
        <x:v>Japan</x:v>
      </x:c>
      <x:c r="D98" s="16" t="str">
        <x:v>Japan national/private mixed research</x:v>
      </x:c>
      <x:c r="E98" s="16" t="str">
        <x:v>No</x:v>
      </x:c>
      <x:c r="F98" s="16" t="str">
        <x:v>No</x:v>
      </x:c>
      <x:c r="G98" s="16" t="str">
        <x:v>D</x:v>
      </x:c>
      <x:c r="H98" s="16" t="str"/>
      <x:c r="I98" s="16" t="str"/>
    </x:row>
    <x:row r="99">
      <x:c r="A99" s="16" t="n">
        <x:v>96</x:v>
      </x:c>
      <x:c r="B99" s="16" t="str">
        <x:v>University of Alberta</x:v>
      </x:c>
      <x:c r="C99" s="16" t="str">
        <x:v>Canada</x:v>
      </x:c>
      <x:c r="D99" s="16" t="str">
        <x:v>Canada public / provincial grants+tuition+research</x:v>
      </x:c>
      <x:c r="E99" s="16" t="str">
        <x:v>No</x:v>
      </x:c>
      <x:c r="F99" s="16" t="str">
        <x:v>No</x:v>
      </x:c>
      <x:c r="G99" s="16" t="str">
        <x:v>C</x:v>
      </x:c>
      <x:c r="H99" s="16" t="str"/>
      <x:c r="I99" s="16" t="str"/>
    </x:row>
    <x:row r="100">
      <x:c r="A100" s="16" t="n">
        <x:v>97</x:v>
      </x:c>
      <x:c r="B100" s="16" t="str">
        <x:v>Institute of Science Tokyo</x:v>
      </x:c>
      <x:c r="C100" s="16" t="str">
        <x:v>Japan</x:v>
      </x:c>
      <x:c r="D100" s="16" t="str">
        <x:v>Japan national/private mixed research</x:v>
      </x:c>
      <x:c r="E100" s="16" t="str">
        <x:v>No</x:v>
      </x:c>
      <x:c r="F100" s="16" t="str">
        <x:v>No</x:v>
      </x:c>
      <x:c r="G100" s="16" t="str">
        <x:v>D</x:v>
      </x:c>
      <x:c r="H100" s="16" t="str"/>
      <x:c r="I100" s="16" t="str"/>
    </x:row>
    <x:row r="101">
      <x:c r="A101" s="16" t="n">
        <x:v>97</x:v>
      </x:c>
      <x:c r="B101" s="16" t="str">
        <x:v>University of Nottingham</x:v>
      </x:c>
      <x:c r="C101" s="16" t="str">
        <x:v>United Kingdom</x:v>
      </x:c>
      <x:c r="D101" s="16" t="str">
        <x:v>UK public research / tuition+research</x:v>
      </x:c>
      <x:c r="E101" s="16" t="str">
        <x:v>No</x:v>
      </x:c>
      <x:c r="F101" s="16" t="str">
        <x:v>No</x:v>
      </x:c>
      <x:c r="G101" s="16" t="str">
        <x:v>C</x:v>
      </x:c>
      <x:c r="H101" s="16" t="str"/>
      <x:c r="I101" s="16" t="str"/>
    </x:row>
    <x:row r="102">
      <x:c r="A102" s="16" t="n">
        <x:v>98</x:v>
      </x:c>
      <x:c r="B102" s="16" t="str">
        <x:v>Freie Universitaet Berlin</x:v>
      </x:c>
      <x:c r="C102" s="16" t="str">
        <x:v>Germany</x:v>
      </x:c>
      <x:c r="D102" s="16" t="str">
        <x:v>Continental Europe public/core funding+third-party research</x:v>
      </x:c>
      <x:c r="E102" s="16" t="str">
        <x:v>No</x:v>
      </x:c>
      <x:c r="F102" s="16" t="str">
        <x:v>No</x:v>
      </x:c>
      <x:c r="G102" s="16" t="str">
        <x:v>D</x:v>
      </x:c>
      <x:c r="H102" s="16" t="str"/>
      <x:c r="I102" s="16" t="str"/>
    </x:row>
    <x:row r="103">
      <x:c r="A103" s="16" t="n">
        <x:v>98</x:v>
      </x:c>
      <x:c r="B103" s="16" t="str">
        <x:v>University of Zurich</x:v>
      </x:c>
      <x:c r="C103" s="16" t="str">
        <x:v>Switzerland</x:v>
      </x:c>
      <x:c r="D103" s="16" t="str">
        <x:v>Continental Europe public/core funding+third-party research</x:v>
      </x:c>
      <x:c r="E103" s="16" t="str">
        <x:v>No</x:v>
      </x:c>
      <x:c r="F103" s="16" t="str">
        <x:v>No</x:v>
      </x:c>
      <x:c r="G103" s="16" t="str">
        <x:v>D</x:v>
      </x:c>
      <x:c r="H103" s="16" t="str"/>
      <x:c r="I103" s="16" t="str"/>
    </x:row>
    <x:row r="104">
      <x:c r="A104" s="16" t="n">
        <x:v>100</x:v>
      </x:c>
      <x:c r="B104" s="16" t="str">
        <x:v>Purdue University</x:v>
      </x:c>
      <x:c r="C104" s="16" t="str">
        <x:v>United States</x:v>
      </x:c>
      <x:c r="D104" s="16" t="str">
        <x:v>US public research</x:v>
      </x:c>
      <x:c r="E104" s="16" t="str">
        <x:v>No</x:v>
      </x:c>
      <x:c r="F104" s="16" t="str">
        <x:v>No</x:v>
      </x:c>
      <x:c r="G104" s="16" t="str">
        <x:v>C</x:v>
      </x:c>
      <x:c r="H104" s="16" t="str"/>
      <x:c r="I104" s="16" t="str"/>
    </x:row>
    <x:row r="105">
      <x:c r="A105" s="16" t="n">
        <x:v>100</x:v>
      </x:c>
      <x:c r="B105" s="16" t="str">
        <x:v>University College Dublin</x:v>
      </x:c>
      <x:c r="C105" s="16" t="str">
        <x:v>Ireland</x:v>
      </x:c>
      <x:c r="D105" s="16" t="str">
        <x:v>Other national model / requires local reporting context</x:v>
      </x:c>
      <x:c r="E105" s="16" t="str">
        <x:v>No</x:v>
      </x:c>
      <x:c r="F105" s="16" t="str">
        <x:v>No</x:v>
      </x:c>
      <x:c r="G105" s="16" t="str">
        <x:v>D</x:v>
      </x:c>
      <x:c r="H105" s="16" t="str"/>
      <x:c r="I105" s="16" t="str"/>
    </x:row>
  </x:sheetData>
  <x:mergeCells>
    <x:mergeCell ref="A1:I1"/>
  </x:mergeCells>
  <x:conditionalFormatting sqref="G4:G105">
    <x:cfRule type="expression" dxfId="0" priority="1">
      <x:formula>G4="A"</x:formula>
    </x:cfRule>
    <x:cfRule type="expression" dxfId="1" priority="2">
      <x:formula>G4="B"</x:formula>
    </x:cfRule>
    <x:cfRule type="expression" dxfId="2" priority="3">
      <x:formula>OR(G4="C",G4="D")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10" hidden="0" customWidth="1"/>
    <x:col min="5" max="5" width="18" hidden="0" customWidth="1"/>
    <x:col min="6" max="6" width="16" hidden="0" customWidth="1"/>
    <x:col min="7" max="7" width="16" hidden="0" customWidth="1"/>
    <x:col min="8" max="8" width="28" hidden="0" customWidth="1"/>
    <x:col min="9" max="9" width="18" hidden="0" customWidth="1"/>
    <x:col min="10" max="10" width="11" hidden="0" customWidth="1"/>
    <x:col min="11" max="11" width="16" hidden="0" customWidth="1"/>
    <x:col min="12" max="12" width="50" hidden="0" customWidth="1"/>
    <x:col min="13" max="13" width="8" hidden="0" customWidth="1"/>
    <x:col min="14" max="14" width="46" hidden="0" customWidth="1"/>
    <x:col min="15" max="15" width="60" hidden="0" customWidth="1"/>
    <x:col min="16" max="16" width="18" hidden="0" customWidth="1"/>
  </x:cols>
  <x:sheetData>
    <x:row r="1" ht="28" customHeight="1">
      <x:c r="A1" s="5" t="str">
        <x:v>Latest Verified Financials - Native Currency, Millions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31" t="str">
        <x:v>QS Rank</x:v>
      </x:c>
      <x:c r="B3" s="31" t="str">
        <x:v>Institution</x:v>
      </x:c>
      <x:c r="C3" s="31" t="str">
        <x:v>FY</x:v>
      </x:c>
      <x:c r="D3" s="31" t="str">
        <x:v>Currency</x:v>
      </x:c>
      <x:c r="E3" s="31" t="str">
        <x:v>Revenue / recognized inflow</x:v>
      </x:c>
      <x:c r="F3" s="31" t="str">
        <x:v>Expenses</x:v>
      </x:c>
      <x:c r="G3" s="31" t="str">
        <x:v>Balance / surplus</x:v>
      </x:c>
      <x:c r="H3" s="31" t="str">
        <x:v>Balance type</x:v>
      </x:c>
      <x:c r="I3" s="31" t="str">
        <x:v>Adjusted/underlying result</x:v>
      </x:c>
      <x:c r="J3" s="31" t="str">
        <x:v>Margin</x:v>
      </x:c>
      <x:c r="K3" s="31" t="str">
        <x:v>Comparable margin?</x:v>
      </x:c>
      <x:c r="L3" s="31" t="str">
        <x:v>Consolidation scope</x:v>
      </x:c>
      <x:c r="M3" s="31" t="str">
        <x:v>Grade</x:v>
      </x:c>
      <x:c r="N3" s="31" t="str">
        <x:v>Source</x:v>
      </x:c>
      <x:c r="O3" s="31" t="str">
        <x:v>Notes</x:v>
      </x:c>
      <x:c r="P3" s="31" t="str">
        <x:v>Check: revenue-expense</x:v>
      </x:c>
    </x:row>
    <x:row r="4">
      <x:c r="A4" s="16" t="n">
        <x:v>1</x:v>
      </x:c>
      <x:c r="B4" s="16" t="str">
        <x:v>Massachusetts Institute of Technology (MIT)</x:v>
      </x:c>
      <x:c r="C4" s="16" t="str">
        <x:v>FY2025</x:v>
      </x:c>
      <x:c r="D4" s="16" t="str">
        <x:v>USD</x:v>
      </x:c>
      <x:c r="E4" s="48" t="n">
        <x:v>5372.8</x:v>
      </x:c>
      <x:c r="F4" s="48" t="n">
        <x:v>5117.2</x:v>
      </x:c>
      <x:c r="G4" s="48" t="n">
        <x:v>255.6</x:v>
      </x:c>
      <x:c r="H4" s="48" t="str">
        <x:v>Operating surplus</x:v>
      </x:c>
      <x:c r="I4" s="48"/>
      <x:c r="J4" s="49" t="n">
        <x:f>G4/E4</x:f>
        <x:v>0.04757296009529482</x:v>
      </x:c>
      <x:c r="K4" s="16" t="str">
        <x:v>Yes</x:v>
      </x:c>
      <x:c r="L4" s="16" t="str">
        <x:v>MIT operating activities</x:v>
      </x:c>
      <x:c r="M4" s="16" t="str">
        <x:v>A</x:v>
      </x:c>
      <x:c r="N4" s="16" t="str">
        <x:v>https://facts.mit.edu/operating-financials/</x:v>
      </x:c>
      <x:c r="O4" s="16" t="str">
        <x:v>Operating financials; investments/endowment shown separately.</x:v>
      </x:c>
      <x:c r="P4" s="50" t="n">
        <x:f>E4-F4</x:f>
        <x:v>255.60000000000036</x:v>
      </x:c>
    </x:row>
    <x:row r="5">
      <x:c r="A5" s="16" t="n">
        <x:v>2</x:v>
      </x:c>
      <x:c r="B5" s="16" t="str">
        <x:v>Imperial College London</x:v>
      </x:c>
      <x:c r="C5" s="16" t="str">
        <x:v>FY2024/25</x:v>
      </x:c>
      <x:c r="D5" s="16" t="str">
        <x:v>GBP</x:v>
      </x:c>
      <x:c r="E5" s="48" t="n">
        <x:v>1492.6</x:v>
      </x:c>
      <x:c r="F5" s="48" t="n">
        <x:v>1394.7</x:v>
      </x:c>
      <x:c r="G5" s="48" t="n">
        <x:v>97.9</x:v>
      </x:c>
      <x:c r="H5" s="48" t="str">
        <x:v>Income less expenditure (simple)</x:v>
      </x:c>
      <x:c r="I5" s="48"/>
      <x:c r="J5" s="49"/>
      <x:c r="K5" s="16" t="str">
        <x:v>Limited</x:v>
      </x:c>
      <x:c r="L5" s="16" t="str">
        <x:v>University/College reporting</x:v>
      </x:c>
      <x:c r="M5" s="16" t="str">
        <x:v>A</x:v>
      </x:c>
      <x:c r="N5" s="16" t="str">
        <x:v>https://www.imperial.ac.uk/admin-services/finance/annual-report/financial-summary/income/</x:v>
      </x:c>
      <x:c r="O5" s="16" t="str">
        <x:v>97.9 is simple income-minus-expenditure, not necessarily the audited comprehensive result.</x:v>
      </x:c>
      <x:c r="P5" s="50" t="n">
        <x:f>E5-F5</x:f>
        <x:v>97.89999999999986</x:v>
      </x:c>
    </x:row>
    <x:row r="6">
      <x:c r="A6" s="16" t="n">
        <x:v>2</x:v>
      </x:c>
      <x:c r="B6" s="16" t="str">
        <x:v>Stanford University</x:v>
      </x:c>
      <x:c r="C6" s="16" t="str">
        <x:v>FY2025</x:v>
      </x:c>
      <x:c r="D6" s="16" t="str">
        <x:v>USD</x:v>
      </x:c>
      <x:c r="E6" s="48" t="n">
        <x:v>19391.307</x:v>
      </x:c>
      <x:c r="F6" s="48" t="n">
        <x:v>18935.447</x:v>
      </x:c>
      <x:c r="G6" s="48" t="n">
        <x:v>455.86</x:v>
      </x:c>
      <x:c r="H6" s="48" t="str">
        <x:v>Consolidated operating surplus</x:v>
      </x:c>
      <x:c r="I6" s="48" t="n">
        <x:v>-78</x:v>
      </x:c>
      <x:c r="J6" s="49" t="n">
        <x:f>G6/E6</x:f>
        <x:v>0.023508472121038567</x:v>
      </x:c>
      <x:c r="K6" s="16" t="str">
        <x:v>Yes-with-scope</x:v>
      </x:c>
      <x:c r="L6" s="16" t="str">
        <x:v>Consolidated: University + Stanford Health Care + LPCH/affiliates</x:v>
      </x:c>
      <x:c r="M6" s="16" t="str">
        <x:v>A</x:v>
      </x:c>
      <x:c r="N6" s="16" t="str">
        <x:v>https://bondholder-information.stanford.edu/sites/g/files/sbiybj21416/files/media/file/fy25-annual-financial-report.pdf</x:v>
      </x:c>
      <x:c r="O6" s="16" t="str">
        <x:v>University-only operating result approximately -78m; healthcare dominates consolidated revenue.</x:v>
      </x:c>
      <x:c r="P6" s="50" t="n">
        <x:f>E6-F6</x:f>
        <x:v>455.8600000000006</x:v>
      </x:c>
    </x:row>
    <x:row r="7">
      <x:c r="A7" s="16" t="n">
        <x:v>4</x:v>
      </x:c>
      <x:c r="B7" s="16" t="str">
        <x:v>University of Oxford</x:v>
      </x:c>
      <x:c r="C7" s="16" t="str">
        <x:v>FY2024/25</x:v>
      </x:c>
      <x:c r="D7" s="16" t="str">
        <x:v>GBP</x:v>
      </x:c>
      <x:c r="E7" s="48" t="n">
        <x:v>3021.2</x:v>
      </x:c>
      <x:c r="F7" s="48"/>
      <x:c r="G7" s="48" t="n">
        <x:v>118.1</x:v>
      </x:c>
      <x:c r="H7" s="48" t="str">
        <x:v>Adjusted surplus</x:v>
      </x:c>
      <x:c r="I7" s="48"/>
      <x:c r="J7" s="49"/>
      <x:c r="K7" s="16" t="str">
        <x:v>Limited</x:v>
      </x:c>
      <x:c r="L7" s="16" t="str">
        <x:v>University core; Oxford colleges are separate legal entities</x:v>
      </x:c>
      <x:c r="M7" s="16" t="str">
        <x:v>A</x:v>
      </x:c>
      <x:c r="N7" s="16" t="str">
        <x:v>https://www.ox.ac.uk/about/how-we-are-run/governance-finance/finance-funding</x:v>
      </x:c>
      <x:c r="O7" s="16" t="str">
        <x:v>Do not compare directly with consolidated US medical systems.</x:v>
      </x:c>
      <x:c r="P7" s="50"/>
    </x:row>
    <x:row r="8">
      <x:c r="A8" s="16" t="n">
        <x:v>5</x:v>
      </x:c>
      <x:c r="B8" s="16" t="str">
        <x:v>Harvard University</x:v>
      </x:c>
      <x:c r="C8" s="16" t="str">
        <x:v>FY2025</x:v>
      </x:c>
      <x:c r="D8" s="16" t="str">
        <x:v>USD</x:v>
      </x:c>
      <x:c r="E8" s="48" t="n">
        <x:v>6700</x:v>
      </x:c>
      <x:c r="F8" s="48" t="n">
        <x:v>6800</x:v>
      </x:c>
      <x:c r="G8" s="48" t="n">
        <x:v>-113</x:v>
      </x:c>
      <x:c r="H8" s="48" t="str">
        <x:v>Operating deficit</x:v>
      </x:c>
      <x:c r="I8" s="48"/>
      <x:c r="J8" s="49" t="n">
        <x:f>G8/E8</x:f>
        <x:v>-0.016865671641791046</x:v>
      </x:c>
      <x:c r="K8" s="16" t="str">
        <x:v>Yes</x:v>
      </x:c>
      <x:c r="L8" s="16" t="str">
        <x:v>Harvard University consolidated operating view</x:v>
      </x:c>
      <x:c r="M8" s="16" t="str">
        <x:v>A</x:v>
      </x:c>
      <x:c r="N8" s="16" t="str">
        <x:v>https://finance.harvard.edu/financial-overview</x:v>
      </x:c>
      <x:c r="O8" s="16" t="str">
        <x:v>Revenue/expense rounded on official overview; deficit is reported operating result.</x:v>
      </x:c>
      <x:c r="P8" s="50" t="n">
        <x:f>E8-F8</x:f>
        <x:v>-100</x:v>
      </x:c>
    </x:row>
    <x:row r="9">
      <x:c r="A9" s="16" t="n">
        <x:v>6</x:v>
      </x:c>
      <x:c r="B9" s="16" t="str">
        <x:v>University of Cambridge</x:v>
      </x:c>
      <x:c r="C9" s="16" t="str">
        <x:v>FY2024/25</x:v>
      </x:c>
      <x:c r="D9" s="16" t="str">
        <x:v>GBP</x:v>
      </x:c>
      <x:c r="E9" s="48" t="n">
        <x:v>2660</x:v>
      </x:c>
      <x:c r="F9" s="48"/>
      <x:c r="G9" s="48" t="n">
        <x:v>287</x:v>
      </x:c>
      <x:c r="H9" s="48" t="str">
        <x:v>Reported surplus</x:v>
      </x:c>
      <x:c r="I9" s="48" t="n">
        <x:v>-8</x:v>
      </x:c>
      <x:c r="J9" s="49"/>
      <x:c r="K9" s="16" t="str">
        <x:v>Limited</x:v>
      </x:c>
      <x:c r="L9" s="16" t="str">
        <x:v>University group; colleges are institutionally separate</x:v>
      </x:c>
      <x:c r="M9" s="16" t="str">
        <x:v>A</x:v>
      </x:c>
      <x:c r="N9" s="16" t="str">
        <x:v>https://www.cam.ac.uk/about-the-university/annual-reports</x:v>
      </x:c>
      <x:c r="O9" s="16" t="str">
        <x:v>Adjusted underlying operating result approximately -8m; demonstrates reported vs recurring result divergence.</x:v>
      </x:c>
      <x:c r="P9" s="50"/>
    </x:row>
    <x:row r="10">
      <x:c r="A10" s="16" t="n">
        <x:v>7</x:v>
      </x:c>
      <x:c r="B10" s="16" t="str">
        <x:v>California Institute of Technology (Caltech)</x:v>
      </x:c>
      <x:c r="C10" s="16" t="str">
        <x:v>FY2025</x:v>
      </x:c>
      <x:c r="D10" s="16" t="str">
        <x:v>USD</x:v>
      </x:c>
      <x:c r="E10" s="48"/>
      <x:c r="F10" s="48"/>
      <x:c r="G10" s="48" t="n">
        <x:v>-33.3</x:v>
      </x:c>
      <x:c r="H10" s="48" t="str">
        <x:v>Operating deficit</x:v>
      </x:c>
      <x:c r="I10" s="48"/>
      <x:c r="J10" s="49"/>
      <x:c r="K10" s="16" t="str">
        <x:v>Limited</x:v>
      </x:c>
      <x:c r="L10" s="16" t="str">
        <x:v>Caltech including JPL-related activity in financial reporting</x:v>
      </x:c>
      <x:c r="M10" s="16" t="str">
        <x:v>B</x:v>
      </x:c>
      <x:c r="N10" s="16" t="str">
        <x:v>https://finance.caltech.edu/Resources/financials</x:v>
      </x:c>
      <x:c r="O10" s="16" t="str">
        <x:v>JPL revenue and expense each roughly $2.3bn; topline not harmonized here.</x:v>
      </x:c>
      <x:c r="P10" s="50"/>
    </x:row>
    <x:row r="11">
      <x:c r="A11" s="16" t="n">
        <x:v>8</x:v>
      </x:c>
      <x:c r="B11" s="16" t="str">
        <x:v>ETH Zurich</x:v>
      </x:c>
      <x:c r="C11" s="16" t="str">
        <x:v>FY2023</x:v>
      </x:c>
      <x:c r="D11" s="16" t="str">
        <x:v>CHF</x:v>
      </x:c>
      <x:c r="E11" s="48"/>
      <x:c r="F11" s="48"/>
      <x:c r="G11" s="48"/>
      <x:c r="H11" s="48" t="str"/>
      <x:c r="I11" s="48"/>
      <x:c r="J11" s="49"/>
      <x:c r="K11" s="16" t="str">
        <x:v>Limited</x:v>
      </x:c>
      <x:c r="L11" s="16" t="str">
        <x:v>ETH Zurich consolidated financial statement</x:v>
      </x:c>
      <x:c r="M11" s="16" t="str">
        <x:v>B</x:v>
      </x:c>
      <x:c r="N11" s="16" t="str">
        <x:v>https://ethz.ch/en/the-eth-zurich/organisation/financial-statements.html</x:v>
      </x:c>
      <x:c r="O11" s="16" t="str">
        <x:v>Key public funding lines captured in Revenue_Mix; total not harmonized in this release.</x:v>
      </x:c>
      <x:c r="P11" s="50"/>
    </x:row>
    <x:row r="12">
      <x:c r="A12" s="16" t="n">
        <x:v>8</x:v>
      </x:c>
      <x:c r="B12" s="16" t="str">
        <x:v>UCL</x:v>
      </x:c>
      <x:c r="C12" s="16" t="str">
        <x:v>FY2023/24</x:v>
      </x:c>
      <x:c r="D12" s="16" t="str">
        <x:v>GBP</x:v>
      </x:c>
      <x:c r="E12" s="48" t="n">
        <x:v>2100</x:v>
      </x:c>
      <x:c r="F12" s="48" t="n">
        <x:v>2075</x:v>
      </x:c>
      <x:c r="G12" s="48" t="n">
        <x:v>25</x:v>
      </x:c>
      <x:c r="H12" s="48" t="str">
        <x:v>Income less expenditure (approx.)</x:v>
      </x:c>
      <x:c r="I12" s="48"/>
      <x:c r="J12" s="49"/>
      <x:c r="K12" s="16" t="str">
        <x:v>Limited</x:v>
      </x:c>
      <x:c r="L12" s="16" t="str">
        <x:v>UCL consolidated university reporting</x:v>
      </x:c>
      <x:c r="M12" s="16" t="str">
        <x:v>B</x:v>
      </x:c>
      <x:c r="N12" s="16" t="str">
        <x:v>https://www.ucl.ac.uk/about/leadership/finance-and-reporting</x:v>
      </x:c>
      <x:c r="O12" s="16" t="str">
        <x:v>Rounded official figures. FY2024/25 operating margin was reported separately at £141m / 6.4%.</x:v>
      </x:c>
      <x:c r="P12" s="50" t="n">
        <x:f>E12-F12</x:f>
        <x:v>25</x:v>
      </x:c>
    </x:row>
    <x:row r="13">
      <x:c r="A13" s="16" t="n">
        <x:v>10</x:v>
      </x:c>
      <x:c r="B13" s="16" t="str">
        <x:v>National University of Singapore (NUS)</x:v>
      </x:c>
      <x:c r="C13" s="16" t="str">
        <x:v>FY2024/25</x:v>
      </x:c>
      <x:c r="D13" s="16" t="str">
        <x:v>SGD</x:v>
      </x:c>
      <x:c r="E13" s="48" t="n">
        <x:v>3881.949</x:v>
      </x:c>
      <x:c r="F13" s="48" t="n">
        <x:v>3542.208</x:v>
      </x:c>
      <x:c r="G13" s="48" t="n">
        <x:v>339.591</x:v>
      </x:c>
      <x:c r="H13" s="48" t="str">
        <x:v>Surplus for year</x:v>
      </x:c>
      <x:c r="I13" s="48"/>
      <x:c r="J13" s="49" t="n">
        <x:f>G13/E13</x:f>
        <x:v>0.08747951093638788</x:v>
      </x:c>
      <x:c r="K13" s="16" t="str">
        <x:v>Derived/A</x:v>
      </x:c>
      <x:c r="L13" s="16" t="str">
        <x:v>NUS Group</x:v>
      </x:c>
      <x:c r="M13" s="16" t="str">
        <x:v>A</x:v>
      </x:c>
      <x:c r="N13" s="16" t="str">
        <x:v>https://nus.edu.sg/docs/default-source/annual-report/nus-financial-report-2025.pdf</x:v>
      </x:c>
      <x:c r="O13" s="16" t="str">
        <x:v>Revenue is a derived sum of recognized inflow lines because grants/investment are shown below operating deficit.</x:v>
      </x:c>
      <x:c r="P13" s="50" t="n">
        <x:f>E13-F13</x:f>
        <x:v>339.741</x:v>
      </x:c>
    </x:row>
    <x:row r="14">
      <x:c r="A14" s="16" t="n">
        <x:v>11</x:v>
      </x:c>
      <x:c r="B14" s="16" t="str">
        <x:v>The University of Hong Kong</x:v>
      </x:c>
      <x:c r="C14" s="16" t="str">
        <x:v>FY2024/25</x:v>
      </x:c>
      <x:c r="D14" s="16" t="str">
        <x:v>HKD</x:v>
      </x:c>
      <x:c r="E14" s="48" t="n">
        <x:v>18781.471</x:v>
      </x:c>
      <x:c r="F14" s="48" t="n">
        <x:v>13984.408</x:v>
      </x:c>
      <x:c r="G14" s="48" t="n">
        <x:v>4807.678</x:v>
      </x:c>
      <x:c r="H14" s="48" t="str">
        <x:v>Surplus for year</x:v>
      </x:c>
      <x:c r="I14" s="48"/>
      <x:c r="J14" s="49" t="n">
        <x:f>G14/E14</x:f>
        <x:v>0.2559798431123952</x:v>
      </x:c>
      <x:c r="K14" s="16" t="str">
        <x:v>Yes</x:v>
      </x:c>
      <x:c r="L14" s="16" t="str">
        <x:v>University consolidated accounts</x:v>
      </x:c>
      <x:c r="M14" s="16" t="str">
        <x:v>A</x:v>
      </x:c>
      <x:c r="N14" s="16" t="str">
        <x:v>https://annualreport.hku.hk/2025/annual-accounts.html</x:v>
      </x:c>
      <x:c r="O14" s="16" t="str">
        <x:v>Investment gains are material; recurring operating comparability should be assessed separately.</x:v>
      </x:c>
      <x:c r="P14" s="50" t="n">
        <x:f>E14-F14</x:f>
        <x:v>4797.063000000002</x:v>
      </x:c>
    </x:row>
    <x:row r="15">
      <x:c r="A15" s="16" t="n">
        <x:v>13</x:v>
      </x:c>
      <x:c r="B15" s="16" t="str">
        <x:v>Peking University</x:v>
      </x:c>
      <x:c r="C15" s="16" t="str">
        <x:v>FY2025 final accounts</x:v>
      </x:c>
      <x:c r="D15" s="16" t="str">
        <x:v>CNY</x:v>
      </x:c>
      <x:c r="E15" s="48" t="n">
        <x:v>17787.8779</x:v>
      </x:c>
      <x:c r="F15" s="48" t="n">
        <x:v>18324.15</x:v>
      </x:c>
      <x:c r="G15" s="48" t="n">
        <x:v>-536.2721</x:v>
      </x:c>
      <x:c r="H15" s="48" t="str">
        <x:v>Current-year budgetary income less expenditure</x:v>
      </x:c>
      <x:c r="I15" s="48"/>
      <x:c r="J15" s="49"/>
      <x:c r="K15" s="16" t="str">
        <x:v>No</x:v>
      </x:c>
      <x:c r="L15" s="16" t="str">
        <x:v>Department final accounts / public-sector budgetary scope</x:v>
      </x:c>
      <x:c r="M15" s="16" t="str">
        <x:v>A</x:v>
      </x:c>
      <x:c r="N15" s="16" t="str">
        <x:v>https://xxgk.pku.edu.cn/docs/2026-08/a370fd617ccb405e84dc53cb726502e2.pdf</x:v>
      </x:c>
      <x:c r="O15" s="16" t="str">
        <x:v>Not an enterprise loss: prior-year carryforward and non-fiscal balances fund current-year spending.</x:v>
      </x:c>
      <x:c r="P15" s="50" t="n">
        <x:f>E15-F15</x:f>
        <x:v>-536.272100000002</x:v>
      </x:c>
    </x:row>
    <x:row r="16">
      <x:c r="A16" s="16" t="n">
        <x:v>14</x:v>
      </x:c>
      <x:c r="B16" s="16" t="str">
        <x:v>Tsinghua University</x:v>
      </x:c>
      <x:c r="C16" s="16" t="str">
        <x:v>FY2025 final accounts</x:v>
      </x:c>
      <x:c r="D16" s="16" t="str">
        <x:v>CNY</x:v>
      </x:c>
      <x:c r="E16" s="48" t="n">
        <x:v>27366.9746</x:v>
      </x:c>
      <x:c r="F16" s="48" t="n">
        <x:v>25786.4562</x:v>
      </x:c>
      <x:c r="G16" s="48" t="n">
        <x:v>1580.5184</x:v>
      </x:c>
      <x:c r="H16" s="48" t="str">
        <x:v>Current-year budgetary income less expenditure</x:v>
      </x:c>
      <x:c r="I16" s="48"/>
      <x:c r="J16" s="49"/>
      <x:c r="K16" s="16" t="str">
        <x:v>No</x:v>
      </x:c>
      <x:c r="L16" s="16" t="str">
        <x:v>Department final accounts incl affiliated schools/hospitals</x:v>
      </x:c>
      <x:c r="M16" s="16" t="str">
        <x:v>A</x:v>
      </x:c>
      <x:c r="N16" s="16" t="str">
        <x:v>https://www.tsinghua.edu.cn/__local/D/36/72/95594450951E25283DD5E82BF22_3B0FFE88_69AC7.pdf</x:v>
      </x:c>
      <x:c r="O16" s="16" t="str">
        <x:v>Budgetary balance is not equivalent to corporate profit. Scope includes affiliated schools and two hospitals.</x:v>
      </x:c>
      <x:c r="P16" s="50" t="n">
        <x:f>E16-F16</x:f>
        <x:v>1580.5184000000008</x:v>
      </x:c>
    </x:row>
    <x:row r="17">
      <x:c r="A17" s="16" t="n">
        <x:v>15</x:v>
      </x:c>
      <x:c r="B17" s="16" t="str">
        <x:v>University of Pennsylvania</x:v>
      </x:c>
      <x:c r="C17" s="16" t="str">
        <x:v>FY2024</x:v>
      </x:c>
      <x:c r="D17" s="16" t="str">
        <x:v>USD</x:v>
      </x:c>
      <x:c r="E17" s="48" t="n">
        <x:v>15800</x:v>
      </x:c>
      <x:c r="F17" s="48" t="n">
        <x:v>15140</x:v>
      </x:c>
      <x:c r="G17" s="48" t="n">
        <x:v>660</x:v>
      </x:c>
      <x:c r="H17" s="48" t="str">
        <x:v>Consolidated operating margin</x:v>
      </x:c>
      <x:c r="I17" s="48"/>
      <x:c r="J17" s="49" t="n">
        <x:f>G17/E17</x:f>
        <x:v>0.04177215189873418</x:v>
      </x:c>
      <x:c r="K17" s="16" t="str">
        <x:v>Yes-with-scope</x:v>
      </x:c>
      <x:c r="L17" s="16" t="str">
        <x:v>University + UPHS health system</x:v>
      </x:c>
      <x:c r="M17" s="16" t="str">
        <x:v>A</x:v>
      </x:c>
      <x:c r="N17" s="16" t="str">
        <x:v>https://www.finance.upenn.edu/wp-content/uploads/Penn-Division-of-Finance-FY24-Annual-Report.pdf</x:v>
      </x:c>
      <x:c r="O17" s="16" t="str">
        <x:v>Expense is derived as revenue less reported operating margin; health system is a major scope component.</x:v>
      </x:c>
      <x:c r="P17" s="50" t="n">
        <x:f>E17-F17</x:f>
        <x:v>660</x:v>
      </x:c>
    </x:row>
    <x:row r="18">
      <x:c r="A18" s="16" t="n">
        <x:v>16</x:v>
      </x:c>
      <x:c r="B18" s="16" t="str">
        <x:v>Cornell University</x:v>
      </x:c>
      <x:c r="C18" s="16" t="str">
        <x:v>FY2025</x:v>
      </x:c>
      <x:c r="D18" s="16" t="str">
        <x:v>USD</x:v>
      </x:c>
      <x:c r="E18" s="48" t="n">
        <x:v>6670</x:v>
      </x:c>
      <x:c r="F18" s="48" t="n">
        <x:v>6261.009</x:v>
      </x:c>
      <x:c r="G18" s="48" t="n">
        <x:v>-12.324</x:v>
      </x:c>
      <x:c r="H18" s="48" t="str">
        <x:v>GAAP operating change in net assets</x:v>
      </x:c>
      <x:c r="I18" s="48"/>
      <x:c r="J18" s="49"/>
      <x:c r="K18" s="16" t="str">
        <x:v>No/mixed-basis</x:v>
      </x:c>
      <x:c r="L18" s="16" t="str">
        <x:v>Operating budget revenue vs financial statement expense</x:v>
      </x:c>
      <x:c r="M18" s="16" t="str">
        <x:v>A</x:v>
      </x:c>
      <x:c r="N18" s="16" t="str">
        <x:v>https://finance.cornell.edu/financial-guide/operating-budget-sources-and-uses/operating-budget-revenue</x:v>
      </x:c>
      <x:c r="O18" s="16" t="str">
        <x:v>Revenue figure is operating-budget basis while expense/result are financial-statement basis; margin intentionally not compared.</x:v>
      </x:c>
      <x:c r="P18" s="50" t="n">
        <x:f>E18-F18</x:f>
        <x:v>408.991</x:v>
      </x:c>
    </x:row>
    <x:row r="19">
      <x:c r="A19" s="16" t="n">
        <x:v>16</x:v>
      </x:c>
      <x:c r="B19" s="16" t="str">
        <x:v>Yale University</x:v>
      </x:c>
      <x:c r="C19" s="16" t="str">
        <x:v>FY2024</x:v>
      </x:c>
      <x:c r="D19" s="16" t="str">
        <x:v>USD</x:v>
      </x:c>
      <x:c r="E19" s="48" t="n">
        <x:v>5900</x:v>
      </x:c>
      <x:c r="F19" s="48" t="n">
        <x:v>5689</x:v>
      </x:c>
      <x:c r="G19" s="48" t="n">
        <x:v>211</x:v>
      </x:c>
      <x:c r="H19" s="48" t="str">
        <x:v>Operating surplus</x:v>
      </x:c>
      <x:c r="I19" s="48"/>
      <x:c r="J19" s="49" t="n">
        <x:f>G19/E19</x:f>
        <x:v>0.03576271186440678</x:v>
      </x:c>
      <x:c r="K19" s="16" t="str">
        <x:v>Yes</x:v>
      </x:c>
      <x:c r="L19" s="16" t="str">
        <x:v>Yale operating activities</x:v>
      </x:c>
      <x:c r="M19" s="16" t="str">
        <x:v>A</x:v>
      </x:c>
      <x:c r="N19" s="16" t="str">
        <x:v>https://provost.yale.edu/news/university-budget-update-2024-2025</x:v>
      </x:c>
      <x:c r="O19" s="16" t="str">
        <x:v>Expense is derived from reported revenue and operating surplus.</x:v>
      </x:c>
      <x:c r="P19" s="50" t="n">
        <x:f>E19-F19</x:f>
        <x:v>211</x:v>
      </x:c>
    </x:row>
    <x:row r="20">
      <x:c r="A20" s="16" t="n">
        <x:v>19</x:v>
      </x:c>
      <x:c r="B20" s="16" t="str">
        <x:v>The University of New South Wales (UNSW Sydney)</x:v>
      </x:c>
      <x:c r="C20" s="16" t="str">
        <x:v>FY2024</x:v>
      </x:c>
      <x:c r="D20" s="16" t="str">
        <x:v>AUD</x:v>
      </x:c>
      <x:c r="E20" s="48" t="n">
        <x:v>3285.554</x:v>
      </x:c>
      <x:c r="F20" s="48" t="n">
        <x:v>3154.379</x:v>
      </x:c>
      <x:c r="G20" s="48" t="n">
        <x:v>131.175</x:v>
      </x:c>
      <x:c r="H20" s="48" t="str">
        <x:v>Net operating result after income tax</x:v>
      </x:c>
      <x:c r="I20" s="48"/>
      <x:c r="J20" s="49" t="n">
        <x:f>G20/E20</x:f>
        <x:v>0.039924773721570245</x:v>
      </x:c>
      <x:c r="K20" s="16" t="str">
        <x:v>Yes</x:v>
      </x:c>
      <x:c r="L20" s="16" t="str">
        <x:v>Total Institution - Australian Dept of Education standardized</x:v>
      </x:c>
      <x:c r="M20" s="16" t="str">
        <x:v>A</x:v>
      </x:c>
      <x:c r="N20" s="16" t="str">
        <x:v>https://www.education.gov.au/download/19832/finance-2024-financial-reports-higher-education-providers/43010/2024-higher-education-providers-finance-tables/csv</x:v>
      </x:c>
      <x:c r="O20" s="16" t="str">
        <x:v>Official standardized provider finance table; amounts converted from A$000 to A$m.</x:v>
      </x:c>
      <x:c r="P20" s="50" t="n">
        <x:f>E20-F20</x:f>
        <x:v>131.17500000000018</x:v>
      </x:c>
    </x:row>
    <x:row r="21">
      <x:c r="A21" s="16" t="n">
        <x:v>22</x:v>
      </x:c>
      <x:c r="B21" s="16" t="str">
        <x:v>The University of Melbourne</x:v>
      </x:c>
      <x:c r="C21" s="16" t="str">
        <x:v>FY2024</x:v>
      </x:c>
      <x:c r="D21" s="16" t="str">
        <x:v>AUD</x:v>
      </x:c>
      <x:c r="E21" s="48" t="n">
        <x:v>3699.756</x:v>
      </x:c>
      <x:c r="F21" s="48" t="n">
        <x:v>3427.052</x:v>
      </x:c>
      <x:c r="G21" s="48" t="n">
        <x:v>272.704</x:v>
      </x:c>
      <x:c r="H21" s="48" t="str">
        <x:v>Net operating result after income tax</x:v>
      </x:c>
      <x:c r="I21" s="48"/>
      <x:c r="J21" s="49" t="n">
        <x:f>G21/E21</x:f>
        <x:v>0.07370864457007435</x:v>
      </x:c>
      <x:c r="K21" s="16" t="str">
        <x:v>Yes</x:v>
      </x:c>
      <x:c r="L21" s="16" t="str">
        <x:v>Total Institution - Australian Dept of Education standardized</x:v>
      </x:c>
      <x:c r="M21" s="16" t="str">
        <x:v>A</x:v>
      </x:c>
      <x:c r="N21" s="16" t="str">
        <x:v>https://www.education.gov.au/download/19832/finance-2024-financial-reports-higher-education-providers/43010/2024-higher-education-providers-finance-tables/csv</x:v>
      </x:c>
      <x:c r="O21" s="16" t="str">
        <x:v>Official standardized provider finance table; amounts converted from A$000 to A$m.</x:v>
      </x:c>
      <x:c r="P21" s="50" t="n">
        <x:f>E21-F21</x:f>
        <x:v>272.7039999999997</x:v>
      </x:c>
    </x:row>
    <x:row r="22">
      <x:c r="A22" s="16" t="n">
        <x:v>28</x:v>
      </x:c>
      <x:c r="B22" s="16" t="str">
        <x:v>The University of Sydney</x:v>
      </x:c>
      <x:c r="C22" s="16" t="str">
        <x:v>FY2024</x:v>
      </x:c>
      <x:c r="D22" s="16" t="str">
        <x:v>AUD</x:v>
      </x:c>
      <x:c r="E22" s="48" t="n">
        <x:v>3885.303</x:v>
      </x:c>
      <x:c r="F22" s="48" t="n">
        <x:v>3340.031</x:v>
      </x:c>
      <x:c r="G22" s="48" t="n">
        <x:v>545.272</x:v>
      </x:c>
      <x:c r="H22" s="48" t="str">
        <x:v>Net operating result after income tax</x:v>
      </x:c>
      <x:c r="I22" s="48"/>
      <x:c r="J22" s="49" t="n">
        <x:f>G22/E22</x:f>
        <x:v>0.1403422075446883</x:v>
      </x:c>
      <x:c r="K22" s="16" t="str">
        <x:v>Yes</x:v>
      </x:c>
      <x:c r="L22" s="16" t="str">
        <x:v>Total Institution - Australian Dept of Education standardized</x:v>
      </x:c>
      <x:c r="M22" s="16" t="str">
        <x:v>A</x:v>
      </x:c>
      <x:c r="N22" s="16" t="str">
        <x:v>https://www.education.gov.au/download/19832/finance-2024-financial-reports-higher-education-providers/43010/2024-higher-education-providers-finance-tables/csv</x:v>
      </x:c>
      <x:c r="O22" s="16" t="str">
        <x:v>Official standardized provider finance table; amounts converted from A$000 to A$m.</x:v>
      </x:c>
      <x:c r="P22" s="50" t="n">
        <x:f>E22-F22</x:f>
        <x:v>545.2719999999999</x:v>
      </x:c>
    </x:row>
    <x:row r="23">
      <x:c r="A23" s="16" t="n">
        <x:v>29</x:v>
      </x:c>
      <x:c r="B23" s="16" t="str">
        <x:v>Australian National University (ANU)</x:v>
      </x:c>
      <x:c r="C23" s="16" t="str">
        <x:v>FY2024</x:v>
      </x:c>
      <x:c r="D23" s="16" t="str">
        <x:v>AUD</x:v>
      </x:c>
      <x:c r="E23" s="48" t="n">
        <x:v>1598.813</x:v>
      </x:c>
      <x:c r="F23" s="48" t="n">
        <x:v>1511.696</x:v>
      </x:c>
      <x:c r="G23" s="48" t="n">
        <x:v>87.117</x:v>
      </x:c>
      <x:c r="H23" s="48" t="str">
        <x:v>Net operating result after income tax</x:v>
      </x:c>
      <x:c r="I23" s="48"/>
      <x:c r="J23" s="49" t="n">
        <x:f>G23/E23</x:f>
        <x:v>0.05448854869206092</x:v>
      </x:c>
      <x:c r="K23" s="16" t="str">
        <x:v>Yes</x:v>
      </x:c>
      <x:c r="L23" s="16" t="str">
        <x:v>Total Institution - Australian Dept of Education standardized</x:v>
      </x:c>
      <x:c r="M23" s="16" t="str">
        <x:v>A</x:v>
      </x:c>
      <x:c r="N23" s="16" t="str">
        <x:v>https://www.education.gov.au/download/19832/finance-2024-financial-reports-higher-education-providers/43010/2024-higher-education-providers-finance-tables/csv</x:v>
      </x:c>
      <x:c r="O23" s="16" t="str">
        <x:v>Official standardized provider finance table; amounts converted from A$000 to A$m.</x:v>
      </x:c>
      <x:c r="P23" s="50" t="n">
        <x:f>E23-F23</x:f>
        <x:v>87.11700000000019</x:v>
      </x:c>
    </x:row>
    <x:row r="24">
      <x:c r="A24" s="16" t="n">
        <x:v>31</x:v>
      </x:c>
      <x:c r="B24" s="16" t="str">
        <x:v>Monash University</x:v>
      </x:c>
      <x:c r="C24" s="16" t="str">
        <x:v>FY2024</x:v>
      </x:c>
      <x:c r="D24" s="16" t="str">
        <x:v>AUD</x:v>
      </x:c>
      <x:c r="E24" s="48" t="n">
        <x:v>3458.994</x:v>
      </x:c>
      <x:c r="F24" s="48" t="n">
        <x:v>3278.2</x:v>
      </x:c>
      <x:c r="G24" s="48" t="n">
        <x:v>180.794</x:v>
      </x:c>
      <x:c r="H24" s="48" t="str">
        <x:v>Net operating result after income tax</x:v>
      </x:c>
      <x:c r="I24" s="48"/>
      <x:c r="J24" s="49" t="n">
        <x:f>G24/E24</x:f>
        <x:v>0.052267798093896665</x:v>
      </x:c>
      <x:c r="K24" s="16" t="str">
        <x:v>Yes</x:v>
      </x:c>
      <x:c r="L24" s="16" t="str">
        <x:v>Total Institution - Australian Dept of Education standardized</x:v>
      </x:c>
      <x:c r="M24" s="16" t="str">
        <x:v>A</x:v>
      </x:c>
      <x:c r="N24" s="16" t="str">
        <x:v>https://www.education.gov.au/download/19832/finance-2024-financial-reports-higher-education-providers/43010/2024-higher-education-providers-finance-tables/csv</x:v>
      </x:c>
      <x:c r="O24" s="16" t="str">
        <x:v>Official standardized provider finance table; amounts converted from A$000 to A$m.</x:v>
      </x:c>
      <x:c r="P24" s="50" t="n">
        <x:f>E24-F24</x:f>
        <x:v>180.79400000000032</x:v>
      </x:c>
    </x:row>
    <x:row r="25">
      <x:c r="A25" s="16" t="n">
        <x:v>40</x:v>
      </x:c>
      <x:c r="B25" s="16" t="str">
        <x:v>The University of Queensland</x:v>
      </x:c>
      <x:c r="C25" s="16" t="str">
        <x:v>FY2024</x:v>
      </x:c>
      <x:c r="D25" s="16" t="str">
        <x:v>AUD</x:v>
      </x:c>
      <x:c r="E25" s="48" t="n">
        <x:v>2698.135</x:v>
      </x:c>
      <x:c r="F25" s="48" t="n">
        <x:v>2418.588</x:v>
      </x:c>
      <x:c r="G25" s="48" t="n">
        <x:v>279.547</x:v>
      </x:c>
      <x:c r="H25" s="48" t="str">
        <x:v>Net operating result after income tax</x:v>
      </x:c>
      <x:c r="I25" s="48"/>
      <x:c r="J25" s="49" t="n">
        <x:f>G25/E25</x:f>
        <x:v>0.10360749184158688</x:v>
      </x:c>
      <x:c r="K25" s="16" t="str">
        <x:v>Yes</x:v>
      </x:c>
      <x:c r="L25" s="16" t="str">
        <x:v>Total Institution - Australian Dept of Education standardized</x:v>
      </x:c>
      <x:c r="M25" s="16" t="str">
        <x:v>A</x:v>
      </x:c>
      <x:c r="N25" s="16" t="str">
        <x:v>https://www.education.gov.au/download/19832/finance-2024-financial-reports-higher-education-providers/43010/2024-higher-education-providers-finance-tables/csv</x:v>
      </x:c>
      <x:c r="O25" s="16" t="str">
        <x:v>Official standardized provider finance table; amounts converted from A$000 to A$m.</x:v>
      </x:c>
      <x:c r="P25" s="50" t="n">
        <x:f>E25-F25</x:f>
        <x:v>279.547</x:v>
      </x:c>
    </x:row>
    <x:row r="26">
      <x:c r="A26" s="16" t="n">
        <x:v>77</x:v>
      </x:c>
      <x:c r="B26" s="16" t="str">
        <x:v>The University of Western Australia</x:v>
      </x:c>
      <x:c r="C26" s="16" t="str">
        <x:v>FY2024</x:v>
      </x:c>
      <x:c r="D26" s="16" t="str">
        <x:v>AUD</x:v>
      </x:c>
      <x:c r="E26" s="48" t="n">
        <x:v>1288.812</x:v>
      </x:c>
      <x:c r="F26" s="48" t="n">
        <x:v>1091.416</x:v>
      </x:c>
      <x:c r="G26" s="48" t="n">
        <x:v>197.396</x:v>
      </x:c>
      <x:c r="H26" s="48" t="str">
        <x:v>Net operating result after income tax</x:v>
      </x:c>
      <x:c r="I26" s="48"/>
      <x:c r="J26" s="49" t="n">
        <x:f>G26/E26</x:f>
        <x:v>0.15316120582365775</x:v>
      </x:c>
      <x:c r="K26" s="16" t="str">
        <x:v>Yes</x:v>
      </x:c>
      <x:c r="L26" s="16" t="str">
        <x:v>Total Institution - Australian Dept of Education standardized</x:v>
      </x:c>
      <x:c r="M26" s="16" t="str">
        <x:v>A</x:v>
      </x:c>
      <x:c r="N26" s="16" t="str">
        <x:v>https://www.education.gov.au/download/19832/finance-2024-financial-reports-higher-education-providers/43010/2024-higher-education-providers-finance-tables/csv</x:v>
      </x:c>
      <x:c r="O26" s="16" t="str">
        <x:v>Official standardized provider finance table; amounts converted from A$000 to A$m.</x:v>
      </x:c>
      <x:c r="P26" s="50" t="n">
        <x:f>E26-F26</x:f>
        <x:v>197.39599999999996</x:v>
      </x:c>
    </x:row>
    <x:row r="27">
      <x:c r="A27" s="16" t="n">
        <x:v>87</x:v>
      </x:c>
      <x:c r="B27" s="16" t="str">
        <x:v>The University of Technology Sydney (UTS)</x:v>
      </x:c>
      <x:c r="C27" s="16" t="str">
        <x:v>FY2024</x:v>
      </x:c>
      <x:c r="D27" s="16" t="str">
        <x:v>AUD</x:v>
      </x:c>
      <x:c r="E27" s="48" t="n">
        <x:v>1314.035</x:v>
      </x:c>
      <x:c r="F27" s="48" t="n">
        <x:v>1394.86</x:v>
      </x:c>
      <x:c r="G27" s="48" t="n">
        <x:v>-80.825</x:v>
      </x:c>
      <x:c r="H27" s="48" t="str">
        <x:v>Net operating result after income tax</x:v>
      </x:c>
      <x:c r="I27" s="48"/>
      <x:c r="J27" s="49" t="n">
        <x:f>G27/E27</x:f>
        <x:v>-0.0615090161220972</x:v>
      </x:c>
      <x:c r="K27" s="16" t="str">
        <x:v>Yes</x:v>
      </x:c>
      <x:c r="L27" s="16" t="str">
        <x:v>Total Institution - Australian Dept of Education standardized</x:v>
      </x:c>
      <x:c r="M27" s="16" t="str">
        <x:v>A</x:v>
      </x:c>
      <x:c r="N27" s="16" t="str">
        <x:v>https://www.education.gov.au/download/19832/finance-2024-financial-reports-higher-education-providers/43010/2024-higher-education-providers-finance-tables/csv</x:v>
      </x:c>
      <x:c r="O27" s="16" t="str">
        <x:v>Official standardized provider finance table; amounts converted from A$000 to A$m.</x:v>
      </x:c>
      <x:c r="P27" s="50" t="n">
        <x:f>E27-F27</x:f>
        <x:v>-80.82499999999982</x:v>
      </x:c>
    </x:row>
  </x:sheetData>
  <x:mergeCells>
    <x:mergeCell ref="A1:P1"/>
  </x:mergeCells>
  <x:conditionalFormatting sqref="G4:G27">
    <x:cfRule type="expression" dxfId="3" priority="1">
      <x:formula>G4&lt;0</x:formula>
    </x:cfRule>
  </x:conditionalFormatting>
  <x:conditionalFormatting sqref="J4:J2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9" hidden="0" customWidth="1"/>
    <x:col min="5" max="5" width="40" hidden="0" customWidth="1"/>
    <x:col min="6" max="6" width="14" hidden="0" customWidth="1"/>
    <x:col min="7" max="7" width="12" hidden="0" customWidth="1"/>
    <x:col min="8" max="8" width="15" hidden="0" customWidth="1"/>
    <x:col min="9" max="9" width="30" hidden="0" customWidth="1"/>
    <x:col min="10" max="10" width="45" hidden="0" customWidth="1"/>
    <x:col min="11" max="11" width="55" hidden="0" customWidth="1"/>
    <x:col min="12" max="12" width="14" hidden="0" customWidth="1"/>
  </x:cols>
  <x:sheetData>
    <x:row r="1" ht="28" customHeight="1">
      <x:c r="A1" s="5" t="str">
        <x:v>Revenue / Income Mix - Detailed Verified Lines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31" t="str">
        <x:v>QS Rank</x:v>
      </x:c>
      <x:c r="B3" s="31" t="str">
        <x:v>Institution</x:v>
      </x:c>
      <x:c r="C3" s="31" t="str">
        <x:v>FY</x:v>
      </x:c>
      <x:c r="D3" s="31" t="str">
        <x:v>Currency</x:v>
      </x:c>
      <x:c r="E3" s="31" t="str">
        <x:v>Category</x:v>
      </x:c>
      <x:c r="F3" s="31" t="str">
        <x:v>Amount</x:v>
      </x:c>
      <x:c r="G3" s="31" t="str">
        <x:v>Published %</x:v>
      </x:c>
      <x:c r="H3" s="31" t="str">
        <x:v>Calculated % of latest total</x:v>
      </x:c>
      <x:c r="I3" s="31" t="str">
        <x:v>Basis</x:v>
      </x:c>
      <x:c r="J3" s="31" t="str">
        <x:v>Source</x:v>
      </x:c>
      <x:c r="K3" s="31" t="str">
        <x:v>Note</x:v>
      </x:c>
      <x:c r="L3" s="31" t="str">
        <x:v>Mix eligibility</x:v>
      </x:c>
    </x:row>
    <x:row r="4">
      <x:c r="A4" s="16" t="n">
        <x:v>1</x:v>
      </x:c>
      <x:c r="B4" s="16" t="str">
        <x:v>Massachusetts Institute of Technology (MIT)</x:v>
      </x:c>
      <x:c r="C4" s="16" t="str">
        <x:v>FY2025</x:v>
      </x:c>
      <x:c r="D4" s="16" t="str">
        <x:v>USD</x:v>
      </x:c>
      <x:c r="E4" s="16" t="str">
        <x:v>Auxiliary</x:v>
      </x:c>
      <x:c r="F4" s="48" t="n">
        <x:v>181.1</x:v>
      </x:c>
      <x:c r="G4" s="58" t="n">
        <x:v>0.03</x:v>
      </x:c>
      <x:c r="H4" s="59" t="n">
        <x:f>IF(L4="Primary",IFERROR(F4/SUMIFS($F$4:$F$146,$B$4:$B$146,B4,$C$4:$C$146,C4,$L$4:$L$146,"Primary"),""),"")</x:f>
        <x:v>0.033706819535437756</x:v>
      </x:c>
      <x:c r="I4" s="16" t="str">
        <x:v>Reported</x:v>
      </x:c>
      <x:c r="J4" s="16" t="str">
        <x:v>https://facts.mit.edu/operating-financials/</x:v>
      </x:c>
      <x:c r="K4" s="16" t="str"/>
      <x:c r="L4" s="16" t="str">
        <x:v>Primary</x:v>
      </x:c>
    </x:row>
    <x:row r="5">
      <x:c r="A5" s="16" t="n">
        <x:v>1</x:v>
      </x:c>
      <x:c r="B5" s="16" t="str">
        <x:v>Massachusetts Institute of Technology (MIT)</x:v>
      </x:c>
      <x:c r="C5" s="16" t="str">
        <x:v>FY2025</x:v>
      </x:c>
      <x:c r="D5" s="16" t="str">
        <x:v>USD</x:v>
      </x:c>
      <x:c r="E5" s="16" t="str">
        <x:v>Gifts/bequests for operations</x:v>
      </x:c>
      <x:c r="F5" s="48" t="n">
        <x:v>473</x:v>
      </x:c>
      <x:c r="G5" s="58" t="n">
        <x:v>0.09</x:v>
      </x:c>
      <x:c r="H5" s="59" t="n">
        <x:f>IF(L5="Primary",IFERROR(F5/SUMIFS($F$4:$F$146,$B$4:$B$146,B5,$C$4:$C$146,C5,$L$4:$L$146,"Primary"),""),"")</x:f>
        <x:v>0.08803603335318642</x:v>
      </x:c>
      <x:c r="I5" s="16" t="str">
        <x:v>Reported</x:v>
      </x:c>
      <x:c r="J5" s="16" t="str">
        <x:v>https://facts.mit.edu/operating-financials/</x:v>
      </x:c>
      <x:c r="K5" s="16" t="str"/>
      <x:c r="L5" s="16" t="str">
        <x:v>Primary</x:v>
      </x:c>
    </x:row>
    <x:row r="6">
      <x:c r="A6" s="16" t="n">
        <x:v>1</x:v>
      </x:c>
      <x:c r="B6" s="16" t="str">
        <x:v>Massachusetts Institute of Technology (MIT)</x:v>
      </x:c>
      <x:c r="C6" s="16" t="str">
        <x:v>FY2025</x:v>
      </x:c>
      <x:c r="D6" s="16" t="str">
        <x:v>USD</x:v>
      </x:c>
      <x:c r="E6" s="16" t="str">
        <x:v>Investment return to operations</x:v>
      </x:c>
      <x:c r="F6" s="48" t="n">
        <x:v>1565.4</x:v>
      </x:c>
      <x:c r="G6" s="58" t="n">
        <x:v>0.29</x:v>
      </x:c>
      <x:c r="H6" s="59" t="n">
        <x:f>IF(L6="Primary",IFERROR(F6/SUMIFS($F$4:$F$146,$B$4:$B$146,B6,$C$4:$C$146,C6,$L$4:$L$146,"Primary"),""),"")</x:f>
        <x:v>0.291356462179869</x:v>
      </x:c>
      <x:c r="I6" s="16" t="str">
        <x:v>Reported</x:v>
      </x:c>
      <x:c r="J6" s="16" t="str">
        <x:v>https://facts.mit.edu/operating-financials/</x:v>
      </x:c>
      <x:c r="K6" s="16" t="str"/>
      <x:c r="L6" s="16" t="str">
        <x:v>Primary</x:v>
      </x:c>
    </x:row>
    <x:row r="7">
      <x:c r="A7" s="16" t="n">
        <x:v>1</x:v>
      </x:c>
      <x:c r="B7" s="16" t="str">
        <x:v>Massachusetts Institute of Technology (MIT)</x:v>
      </x:c>
      <x:c r="C7" s="16" t="str">
        <x:v>FY2025</x:v>
      </x:c>
      <x:c r="D7" s="16" t="str">
        <x:v>USD</x:v>
      </x:c>
      <x:c r="E7" s="16" t="str">
        <x:v>Other revenue</x:v>
      </x:c>
      <x:c r="F7" s="48" t="n">
        <x:v>296</x:v>
      </x:c>
      <x:c r="G7" s="58" t="n">
        <x:v>0.06</x:v>
      </x:c>
      <x:c r="H7" s="59" t="n">
        <x:f>IF(L7="Primary",IFERROR(F7/SUMIFS($F$4:$F$146,$B$4:$B$146,B7,$C$4:$C$146,C7,$L$4:$L$146,"Primary"),""),"")</x:f>
        <x:v>0.055092316855270995</x:v>
      </x:c>
      <x:c r="I7" s="16" t="str">
        <x:v>Reported</x:v>
      </x:c>
      <x:c r="J7" s="16" t="str">
        <x:v>https://facts.mit.edu/operating-financials/</x:v>
      </x:c>
      <x:c r="K7" s="16" t="str"/>
      <x:c r="L7" s="16" t="str">
        <x:v>Primary</x:v>
      </x:c>
    </x:row>
    <x:row r="8">
      <x:c r="A8" s="16" t="n">
        <x:v>1</x:v>
      </x:c>
      <x:c r="B8" s="16" t="str">
        <x:v>Massachusetts Institute of Technology (MIT)</x:v>
      </x:c>
      <x:c r="C8" s="16" t="str">
        <x:v>FY2025</x:v>
      </x:c>
      <x:c r="D8" s="16" t="str">
        <x:v>USD</x:v>
      </x:c>
      <x:c r="E8" s="16" t="str">
        <x:v>SMART</x:v>
      </x:c>
      <x:c r="F8" s="48" t="n">
        <x:v>27.2</x:v>
      </x:c>
      <x:c r="G8" s="58" t="n">
        <x:v>0.01</x:v>
      </x:c>
      <x:c r="H8" s="59" t="n">
        <x:f>IF(L8="Primary",IFERROR(F8/SUMIFS($F$4:$F$146,$B$4:$B$146,B8,$C$4:$C$146,C8,$L$4:$L$146,"Primary"),""),"")</x:f>
        <x:v>0.005062537224538415</x:v>
      </x:c>
      <x:c r="I8" s="16" t="str">
        <x:v>Reported</x:v>
      </x:c>
      <x:c r="J8" s="16" t="str">
        <x:v>https://facts.mit.edu/operating-financials/</x:v>
      </x:c>
      <x:c r="K8" s="16" t="str"/>
      <x:c r="L8" s="16" t="str">
        <x:v>Primary</x:v>
      </x:c>
    </x:row>
    <x:row r="9">
      <x:c r="A9" s="16" t="n">
        <x:v>1</x:v>
      </x:c>
      <x:c r="B9" s="16" t="str">
        <x:v>Massachusetts Institute of Technology (MIT)</x:v>
      </x:c>
      <x:c r="C9" s="16" t="str">
        <x:v>FY2025</x:v>
      </x:c>
      <x:c r="D9" s="16" t="str">
        <x:v>USD</x:v>
      </x:c>
      <x:c r="E9" s="16" t="str">
        <x:v>Sponsored support - Campus</x:v>
      </x:c>
      <x:c r="F9" s="48" t="n">
        <x:v>917.9</x:v>
      </x:c>
      <x:c r="G9" s="58" t="n">
        <x:v>0.17</x:v>
      </x:c>
      <x:c r="H9" s="59" t="n">
        <x:f>IF(L9="Primary",IFERROR(F9/SUMIFS($F$4:$F$146,$B$4:$B$146,B9,$C$4:$C$146,C9,$L$4:$L$146,"Primary"),""),"")</x:f>
        <x:v>0.17084201905896365</x:v>
      </x:c>
      <x:c r="I9" s="16" t="str">
        <x:v>Reported</x:v>
      </x:c>
      <x:c r="J9" s="16" t="str">
        <x:v>https://facts.mit.edu/operating-financials/</x:v>
      </x:c>
      <x:c r="K9" s="16" t="str"/>
      <x:c r="L9" s="16" t="str">
        <x:v>Primary</x:v>
      </x:c>
    </x:row>
    <x:row r="10">
      <x:c r="A10" s="16" t="n">
        <x:v>1</x:v>
      </x:c>
      <x:c r="B10" s="16" t="str">
        <x:v>Massachusetts Institute of Technology (MIT)</x:v>
      </x:c>
      <x:c r="C10" s="16" t="str">
        <x:v>FY2025</x:v>
      </x:c>
      <x:c r="D10" s="16" t="str">
        <x:v>USD</x:v>
      </x:c>
      <x:c r="E10" s="16" t="str">
        <x:v>Sponsored support - Lincoln Laboratory</x:v>
      </x:c>
      <x:c r="F10" s="48" t="n">
        <x:v>1476.1</x:v>
      </x:c>
      <x:c r="G10" s="58" t="n">
        <x:v>0.27</x:v>
      </x:c>
      <x:c r="H10" s="59" t="n">
        <x:f>IF(L10="Primary",IFERROR(F10/SUMIFS($F$4:$F$146,$B$4:$B$146,B10,$C$4:$C$146,C10,$L$4:$L$146,"Primary"),""),"")</x:f>
        <x:v>0.2747357057772483</x:v>
      </x:c>
      <x:c r="I10" s="16" t="str">
        <x:v>Reported</x:v>
      </x:c>
      <x:c r="J10" s="16" t="str">
        <x:v>https://facts.mit.edu/operating-financials/</x:v>
      </x:c>
      <x:c r="K10" s="16" t="str"/>
      <x:c r="L10" s="16" t="str">
        <x:v>Primary</x:v>
      </x:c>
    </x:row>
    <x:row r="11">
      <x:c r="A11" s="16" t="n">
        <x:v>1</x:v>
      </x:c>
      <x:c r="B11" s="16" t="str">
        <x:v>Massachusetts Institute of Technology (MIT)</x:v>
      </x:c>
      <x:c r="C11" s="16" t="str">
        <x:v>FY2025</x:v>
      </x:c>
      <x:c r="D11" s="16" t="str">
        <x:v>USD</x:v>
      </x:c>
      <x:c r="E11" s="16" t="str">
        <x:v>Tuition, net</x:v>
      </x:c>
      <x:c r="F11" s="48" t="n">
        <x:v>436.1</x:v>
      </x:c>
      <x:c r="G11" s="58" t="n">
        <x:v>0.08</x:v>
      </x:c>
      <x:c r="H11" s="59" t="n">
        <x:f>IF(L11="Primary",IFERROR(F11/SUMIFS($F$4:$F$146,$B$4:$B$146,B11,$C$4:$C$146,C11,$L$4:$L$146,"Primary"),""),"")</x:f>
        <x:v>0.08116810601548541</x:v>
      </x:c>
      <x:c r="I11" s="16" t="str">
        <x:v>Reported</x:v>
      </x:c>
      <x:c r="J11" s="16" t="str">
        <x:v>https://facts.mit.edu/operating-financials/</x:v>
      </x:c>
      <x:c r="K11" s="16" t="str"/>
      <x:c r="L11" s="16" t="str">
        <x:v>Primary</x:v>
      </x:c>
    </x:row>
    <x:row r="12">
      <x:c r="A12" s="16" t="n">
        <x:v>2</x:v>
      </x:c>
      <x:c r="B12" s="16" t="str">
        <x:v>Imperial College London</x:v>
      </x:c>
      <x:c r="C12" s="16" t="str">
        <x:v>FY2024/25</x:v>
      </x:c>
      <x:c r="D12" s="16" t="str">
        <x:v>GBP</x:v>
      </x:c>
      <x:c r="E12" s="16" t="str">
        <x:v>Donations/endowments</x:v>
      </x:c>
      <x:c r="F12" s="48" t="n">
        <x:v>74.6</x:v>
      </x:c>
      <x:c r="G12" s="58"/>
      <x:c r="H12" s="59" t="n">
        <x:f>IF(L12="Primary",IFERROR(F12/SUMIFS($F$4:$F$146,$B$4:$B$146,B12,$C$4:$C$146,C12,$L$4:$L$146,"Primary"),""),"")</x:f>
        <x:v>0.04997990084416454</x:v>
      </x:c>
      <x:c r="I12" s="16" t="str">
        <x:v>Reported</x:v>
      </x:c>
      <x:c r="J12" s="16" t="str">
        <x:v>https://www.imperial.ac.uk/admin-services/finance/annual-report/financial-summary/income/</x:v>
      </x:c>
      <x:c r="K12" s="16" t="str"/>
      <x:c r="L12" s="16" t="str">
        <x:v>Primary</x:v>
      </x:c>
    </x:row>
    <x:row r="13">
      <x:c r="A13" s="16" t="n">
        <x:v>2</x:v>
      </x:c>
      <x:c r="B13" s="16" t="str">
        <x:v>Imperial College London</x:v>
      </x:c>
      <x:c r="C13" s="16" t="str">
        <x:v>FY2024/25</x:v>
      </x:c>
      <x:c r="D13" s="16" t="str">
        <x:v>GBP</x:v>
      </x:c>
      <x:c r="E13" s="16" t="str">
        <x:v>Funding body grants</x:v>
      </x:c>
      <x:c r="F13" s="48" t="n">
        <x:v>158.4</x:v>
      </x:c>
      <x:c r="G13" s="58"/>
      <x:c r="H13" s="59" t="n">
        <x:f>IF(L13="Primary",IFERROR(F13/SUMIFS($F$4:$F$146,$B$4:$B$146,B13,$C$4:$C$146,C13,$L$4:$L$146,"Primary"),""),"")</x:f>
        <x:v>0.10612354281120193</x:v>
      </x:c>
      <x:c r="I13" s="16" t="str">
        <x:v>Reported</x:v>
      </x:c>
      <x:c r="J13" s="16" t="str">
        <x:v>https://www.imperial.ac.uk/admin-services/finance/annual-report/financial-summary/income/</x:v>
      </x:c>
      <x:c r="K13" s="16" t="str"/>
      <x:c r="L13" s="16" t="str">
        <x:v>Primary</x:v>
      </x:c>
    </x:row>
    <x:row r="14">
      <x:c r="A14" s="16" t="n">
        <x:v>2</x:v>
      </x:c>
      <x:c r="B14" s="16" t="str">
        <x:v>Imperial College London</x:v>
      </x:c>
      <x:c r="C14" s="16" t="str">
        <x:v>FY2024/25</x:v>
      </x:c>
      <x:c r="D14" s="16" t="str">
        <x:v>GBP</x:v>
      </x:c>
      <x:c r="E14" s="16" t="str">
        <x:v>Home tuition</x:v>
      </x:c>
      <x:c r="F14" s="48" t="n">
        <x:v>97.8</x:v>
      </x:c>
      <x:c r="G14" s="58"/>
      <x:c r="H14" s="59" t="n">
        <x:f>IF(L14="Primary",IFERROR(F14/SUMIFS($F$4:$F$146,$B$4:$B$146,B14,$C$4:$C$146,C14,$L$4:$L$146,"Primary"),""),"")</x:f>
        <x:v>0.065523248023583</x:v>
      </x:c>
      <x:c r="I14" s="16" t="str">
        <x:v>Reported</x:v>
      </x:c>
      <x:c r="J14" s="16" t="str">
        <x:v>https://www.imperial.ac.uk/admin-services/finance/annual-report/financial-summary/income/</x:v>
      </x:c>
      <x:c r="K14" s="16" t="str"/>
      <x:c r="L14" s="16" t="str">
        <x:v>Primary</x:v>
      </x:c>
    </x:row>
    <x:row r="15">
      <x:c r="A15" s="16" t="n">
        <x:v>2</x:v>
      </x:c>
      <x:c r="B15" s="16" t="str">
        <x:v>Imperial College London</x:v>
      </x:c>
      <x:c r="C15" s="16" t="str">
        <x:v>FY2024/25</x:v>
      </x:c>
      <x:c r="D15" s="16" t="str">
        <x:v>GBP</x:v>
      </x:c>
      <x:c r="E15" s="16" t="str">
        <x:v>Investment income</x:v>
      </x:c>
      <x:c r="F15" s="48" t="n">
        <x:v>34.8</x:v>
      </x:c>
      <x:c r="G15" s="58"/>
      <x:c r="H15" s="59" t="n">
        <x:f>IF(L15="Primary",IFERROR(F15/SUMIFS($F$4:$F$146,$B$4:$B$146,B15,$C$4:$C$146,C15,$L$4:$L$146,"Primary"),""),"")</x:f>
        <x:v>0.02331502076912769</x:v>
      </x:c>
      <x:c r="I15" s="16" t="str">
        <x:v>Reported</x:v>
      </x:c>
      <x:c r="J15" s="16" t="str">
        <x:v>https://www.imperial.ac.uk/admin-services/finance/annual-report/financial-summary/income/</x:v>
      </x:c>
      <x:c r="K15" s="16" t="str"/>
      <x:c r="L15" s="16" t="str">
        <x:v>Primary</x:v>
      </x:c>
    </x:row>
    <x:row r="16">
      <x:c r="A16" s="16" t="n">
        <x:v>2</x:v>
      </x:c>
      <x:c r="B16" s="16" t="str">
        <x:v>Imperial College London</x:v>
      </x:c>
      <x:c r="C16" s="16" t="str">
        <x:v>FY2024/25</x:v>
      </x:c>
      <x:c r="D16" s="16" t="str">
        <x:v>GBP</x:v>
      </x:c>
      <x:c r="E16" s="16" t="str">
        <x:v>Other income</x:v>
      </x:c>
      <x:c r="F16" s="48" t="n">
        <x:v>223.5</x:v>
      </x:c>
      <x:c r="G16" s="58"/>
      <x:c r="H16" s="59" t="n">
        <x:f>IF(L16="Primary",IFERROR(F16/SUMIFS($F$4:$F$146,$B$4:$B$146,B16,$C$4:$C$146,C16,$L$4:$L$146,"Primary"),""),"")</x:f>
        <x:v>0.14973871097413907</x:v>
      </x:c>
      <x:c r="I16" s="16" t="str">
        <x:v>Reported</x:v>
      </x:c>
      <x:c r="J16" s="16" t="str">
        <x:v>https://www.imperial.ac.uk/admin-services/finance/annual-report/financial-summary/income/</x:v>
      </x:c>
      <x:c r="K16" s="16" t="str"/>
      <x:c r="L16" s="16" t="str">
        <x:v>Primary</x:v>
      </x:c>
    </x:row>
    <x:row r="17">
      <x:c r="A17" s="16" t="n">
        <x:v>2</x:v>
      </x:c>
      <x:c r="B17" s="16" t="str">
        <x:v>Imperial College London</x:v>
      </x:c>
      <x:c r="C17" s="16" t="str">
        <x:v>FY2024/25</x:v>
      </x:c>
      <x:c r="D17" s="16" t="str">
        <x:v>GBP</x:v>
      </x:c>
      <x:c r="E17" s="16" t="str">
        <x:v>Overseas tuition</x:v>
      </x:c>
      <x:c r="F17" s="48" t="n">
        <x:v>407.9</x:v>
      </x:c>
      <x:c r="G17" s="58"/>
      <x:c r="H17" s="59" t="n">
        <x:f>IF(L17="Primary",IFERROR(F17/SUMIFS($F$4:$F$146,$B$4:$B$146,B17,$C$4:$C$146,C17,$L$4:$L$146,"Primary"),""),"")</x:f>
        <x:v>0.27328152217606855</x:v>
      </x:c>
      <x:c r="I17" s="16" t="str">
        <x:v>Reported</x:v>
      </x:c>
      <x:c r="J17" s="16" t="str">
        <x:v>https://www.imperial.ac.uk/admin-services/finance/annual-report/financial-summary/income/</x:v>
      </x:c>
      <x:c r="K17" s="16" t="str"/>
      <x:c r="L17" s="16" t="str">
        <x:v>Primary</x:v>
      </x:c>
    </x:row>
    <x:row r="18">
      <x:c r="A18" s="16" t="n">
        <x:v>2</x:v>
      </x:c>
      <x:c r="B18" s="16" t="str">
        <x:v>Imperial College London</x:v>
      </x:c>
      <x:c r="C18" s="16" t="str">
        <x:v>FY2024/25</x:v>
      </x:c>
      <x:c r="D18" s="16" t="str">
        <x:v>GBP</x:v>
      </x:c>
      <x:c r="E18" s="16" t="str">
        <x:v>Research grants &amp; contracts</x:v>
      </x:c>
      <x:c r="F18" s="48" t="n">
        <x:v>447.4</x:v>
      </x:c>
      <x:c r="G18" s="58"/>
      <x:c r="H18" s="59" t="n">
        <x:f>IF(L18="Primary",IFERROR(F18/SUMIFS($F$4:$F$146,$B$4:$B$146,B18,$C$4:$C$146,C18,$L$4:$L$146,"Primary"),""),"")</x:f>
        <x:v>0.29974541069275085</x:v>
      </x:c>
      <x:c r="I18" s="16" t="str">
        <x:v>Reported</x:v>
      </x:c>
      <x:c r="J18" s="16" t="str">
        <x:v>https://www.imperial.ac.uk/admin-services/finance/annual-report/financial-summary/income/</x:v>
      </x:c>
      <x:c r="K18" s="16" t="str"/>
      <x:c r="L18" s="16" t="str">
        <x:v>Primary</x:v>
      </x:c>
    </x:row>
    <x:row r="19">
      <x:c r="A19" s="16" t="n">
        <x:v>2</x:v>
      </x:c>
      <x:c r="B19" s="16" t="str">
        <x:v>Imperial College London</x:v>
      </x:c>
      <x:c r="C19" s="16" t="str">
        <x:v>FY2024/25</x:v>
      </x:c>
      <x:c r="D19" s="16" t="str">
        <x:v>GBP</x:v>
      </x:c>
      <x:c r="E19" s="16" t="str">
        <x:v>Short courses/other education</x:v>
      </x:c>
      <x:c r="F19" s="48" t="n">
        <x:v>20.9</x:v>
      </x:c>
      <x:c r="G19" s="58"/>
      <x:c r="H19" s="59" t="n">
        <x:f>IF(L19="Primary",IFERROR(F19/SUMIFS($F$4:$F$146,$B$4:$B$146,B19,$C$4:$C$146,C19,$L$4:$L$146,"Primary"),""),"")</x:f>
        <x:v>0.014002411898700252</x:v>
      </x:c>
      <x:c r="I19" s="16" t="str">
        <x:v>Reported</x:v>
      </x:c>
      <x:c r="J19" s="16" t="str">
        <x:v>https://www.imperial.ac.uk/admin-services/finance/annual-report/financial-summary/income/</x:v>
      </x:c>
      <x:c r="K19" s="16" t="str"/>
      <x:c r="L19" s="16" t="str">
        <x:v>Primary</x:v>
      </x:c>
    </x:row>
    <x:row r="20">
      <x:c r="A20" s="16" t="n">
        <x:v>2</x:v>
      </x:c>
      <x:c r="B20" s="16" t="str">
        <x:v>Imperial College London</x:v>
      </x:c>
      <x:c r="C20" s="16" t="str">
        <x:v>FY2024/25</x:v>
      </x:c>
      <x:c r="D20" s="16" t="str">
        <x:v>GBP</x:v>
      </x:c>
      <x:c r="E20" s="16" t="str">
        <x:v>Unallocated / rounding residual</x:v>
      </x:c>
      <x:c r="F20" s="48" t="n">
        <x:v>27.299999999999955</x:v>
      </x:c>
      <x:c r="G20" s="58"/>
      <x:c r="H20" s="59" t="n">
        <x:f>IF(L20="Primary",IFERROR(F20/SUMIFS($F$4:$F$146,$B$4:$B$146,B20,$C$4:$C$146,C20,$L$4:$L$146,"Primary"),""),"")</x:f>
        <x:v>0.018290231810263936</x:v>
      </x:c>
      <x:c r="I20" s="16" t="str">
        <x:v>Derived residual</x:v>
      </x:c>
      <x:c r="J20" s="16" t="str">
        <x:v>https://www.imperial.ac.uk/admin-services/finance/annual-report/financial-summary/income/</x:v>
      </x:c>
      <x:c r="K20" s="16" t="str"/>
      <x:c r="L20" s="16" t="str">
        <x:v>Primary</x:v>
      </x:c>
    </x:row>
    <x:row r="21">
      <x:c r="A21" s="16" t="n">
        <x:v>2</x:v>
      </x:c>
      <x:c r="B21" s="16" t="str">
        <x:v>Stanford University</x:v>
      </x:c>
      <x:c r="C21" s="16" t="str">
        <x:v>FY2025</x:v>
      </x:c>
      <x:c r="D21" s="16" t="str">
        <x:v>USD</x:v>
      </x:c>
      <x:c r="E21" s="16" t="str">
        <x:v>Health care services</x:v>
      </x:c>
      <x:c r="F21" s="48" t="n">
        <x:v>12100</x:v>
      </x:c>
      <x:c r="G21" s="58"/>
      <x:c r="H21" s="59" t="n">
        <x:f>IF(L21="Primary",IFERROR(F21/SUMIFS($F$4:$F$146,$B$4:$B$146,B21,$C$4:$C$146,C21,$L$4:$L$146,"Primary"),""),"")</x:f>
        <x:v>0.6239909460460813</x:v>
      </x:c>
      <x:c r="I21" s="16" t="str">
        <x:v>Approx. reported/rounded</x:v>
      </x:c>
      <x:c r="J21" s="16" t="str">
        <x:v>https://bondholder-information.stanford.edu/sites/g/files/sbiybj21416/files/media/file/fy25-annual-financial-report.pdf</x:v>
      </x:c>
      <x:c r="K21" s="16" t="str"/>
      <x:c r="L21" s="16" t="str">
        <x:v>Primary</x:v>
      </x:c>
    </x:row>
    <x:row r="22">
      <x:c r="A22" s="16" t="n">
        <x:v>2</x:v>
      </x:c>
      <x:c r="B22" s="16" t="str">
        <x:v>Stanford University</x:v>
      </x:c>
      <x:c r="C22" s="16" t="str">
        <x:v>FY2025</x:v>
      </x:c>
      <x:c r="D22" s="16" t="str">
        <x:v>USD</x:v>
      </x:c>
      <x:c r="E22" s="16" t="str">
        <x:v>Investment income distribution</x:v>
      </x:c>
      <x:c r="F22" s="48" t="n">
        <x:v>2400</x:v>
      </x:c>
      <x:c r="G22" s="58"/>
      <x:c r="H22" s="59" t="n">
        <x:f>IF(L22="Primary",IFERROR(F22/SUMIFS($F$4:$F$146,$B$4:$B$146,B22,$C$4:$C$146,C22,$L$4:$L$146,"Primary"),""),"")</x:f>
        <x:v>0.12376679921575168</x:v>
      </x:c>
      <x:c r="I22" s="16" t="str">
        <x:v>Approx. reported/rounded</x:v>
      </x:c>
      <x:c r="J22" s="16" t="str">
        <x:v>https://bondholder-information.stanford.edu/sites/g/files/sbiybj21416/files/media/file/fy25-annual-financial-report.pdf</x:v>
      </x:c>
      <x:c r="K22" s="16" t="str"/>
      <x:c r="L22" s="16" t="str">
        <x:v>Primary</x:v>
      </x:c>
    </x:row>
    <x:row r="23">
      <x:c r="A23" s="16" t="n">
        <x:v>2</x:v>
      </x:c>
      <x:c r="B23" s="16" t="str">
        <x:v>Stanford University</x:v>
      </x:c>
      <x:c r="C23" s="16" t="str">
        <x:v>FY2025</x:v>
      </x:c>
      <x:c r="D23" s="16" t="str">
        <x:v>USD</x:v>
      </x:c>
      <x:c r="E23" s="16" t="str">
        <x:v>Other / balancing amount</x:v>
      </x:c>
      <x:c r="F23" s="48" t="n">
        <x:v>1746.3070000000007</x:v>
      </x:c>
      <x:c r="G23" s="58"/>
      <x:c r="H23" s="59" t="n">
        <x:f>IF(L23="Primary",IFERROR(F23/SUMIFS($F$4:$F$146,$B$4:$B$146,B23,$C$4:$C$146,C23,$L$4:$L$146,"Primary"),""),"")</x:f>
        <x:v>0.09005617826585906</x:v>
      </x:c>
      <x:c r="I23" s="16" t="str">
        <x:v>Derived residual</x:v>
      </x:c>
      <x:c r="J23" s="16" t="str">
        <x:v>https://bondholder-information.stanford.edu/sites/g/files/sbiybj21416/files/media/file/fy25-annual-financial-report.pdf</x:v>
      </x:c>
      <x:c r="K23" s="16" t="str">
        <x:v>Residual to reconcile rounded category values to consolidated revenue.</x:v>
      </x:c>
      <x:c r="L23" s="16" t="str">
        <x:v>Primary</x:v>
      </x:c>
    </x:row>
    <x:row r="24">
      <x:c r="A24" s="16" t="n">
        <x:v>2</x:v>
      </x:c>
      <x:c r="B24" s="16" t="str">
        <x:v>Stanford University</x:v>
      </x:c>
      <x:c r="C24" s="16" t="str">
        <x:v>FY2025</x:v>
      </x:c>
      <x:c r="D24" s="16" t="str">
        <x:v>USD</x:v>
      </x:c>
      <x:c r="E24" s="16" t="str">
        <x:v>Sponsored support</x:v>
      </x:c>
      <x:c r="F24" s="48" t="n">
        <x:v>2300</x:v>
      </x:c>
      <x:c r="G24" s="58"/>
      <x:c r="H24" s="59" t="n">
        <x:f>IF(L24="Primary",IFERROR(F24/SUMIFS($F$4:$F$146,$B$4:$B$146,B24,$C$4:$C$146,C24,$L$4:$L$146,"Primary"),""),"")</x:f>
        <x:v>0.11860984924842868</x:v>
      </x:c>
      <x:c r="I24" s="16" t="str">
        <x:v>Approx. reported/rounded</x:v>
      </x:c>
      <x:c r="J24" s="16" t="str">
        <x:v>https://bondholder-information.stanford.edu/sites/g/files/sbiybj21416/files/media/file/fy25-annual-financial-report.pdf</x:v>
      </x:c>
      <x:c r="K24" s="16" t="str"/>
      <x:c r="L24" s="16" t="str">
        <x:v>Primary</x:v>
      </x:c>
    </x:row>
    <x:row r="25">
      <x:c r="A25" s="16" t="n">
        <x:v>2</x:v>
      </x:c>
      <x:c r="B25" s="16" t="str">
        <x:v>Stanford University</x:v>
      </x:c>
      <x:c r="C25" s="16" t="str">
        <x:v>FY2025</x:v>
      </x:c>
      <x:c r="D25" s="16" t="str">
        <x:v>USD</x:v>
      </x:c>
      <x:c r="E25" s="16" t="str">
        <x:v>Student income</x:v>
      </x:c>
      <x:c r="F25" s="48" t="n">
        <x:v>845</x:v>
      </x:c>
      <x:c r="G25" s="58"/>
      <x:c r="H25" s="59" t="n">
        <x:f>IF(L25="Primary",IFERROR(F25/SUMIFS($F$4:$F$146,$B$4:$B$146,B25,$C$4:$C$146,C25,$L$4:$L$146,"Primary"),""),"")</x:f>
        <x:v>0.04357622722387924</x:v>
      </x:c>
      <x:c r="I25" s="16" t="str">
        <x:v>Approx. reported/rounded</x:v>
      </x:c>
      <x:c r="J25" s="16" t="str">
        <x:v>https://bondholder-information.stanford.edu/sites/g/files/sbiybj21416/files/media/file/fy25-annual-financial-report.pdf</x:v>
      </x:c>
      <x:c r="K25" s="16" t="str"/>
      <x:c r="L25" s="16" t="str">
        <x:v>Primary</x:v>
      </x:c>
    </x:row>
    <x:row r="26">
      <x:c r="A26" s="16" t="n">
        <x:v>5</x:v>
      </x:c>
      <x:c r="B26" s="16" t="str">
        <x:v>Harvard University</x:v>
      </x:c>
      <x:c r="C26" s="16" t="str">
        <x:v>FY2025</x:v>
      </x:c>
      <x:c r="D26" s="16" t="str">
        <x:v>USD</x:v>
      </x:c>
      <x:c r="E26" s="16" t="str">
        <x:v>Education</x:v>
      </x:c>
      <x:c r="F26" s="48" t="n">
        <x:v>1474</x:v>
      </x:c>
      <x:c r="G26" s="58" t="n">
        <x:v>0.22</x:v>
      </x:c>
      <x:c r="H26" s="59" t="n">
        <x:f>IF(L26="Primary",IFERROR(F26/SUMIFS($F$4:$F$146,$B$4:$B$146,B26,$C$4:$C$146,C26,$L$4:$L$146,"Primary"),""),"")</x:f>
        <x:v>0.22</x:v>
      </x:c>
      <x:c r="I26" s="16" t="str">
        <x:v>Derived amount from published share × rounded revenue</x:v>
      </x:c>
      <x:c r="J26" s="16" t="str">
        <x:v>https://finance.harvard.edu/financial-overview</x:v>
      </x:c>
      <x:c r="K26" s="16" t="str"/>
      <x:c r="L26" s="16" t="str">
        <x:v>Primary</x:v>
      </x:c>
    </x:row>
    <x:row r="27">
      <x:c r="A27" s="16" t="n">
        <x:v>5</x:v>
      </x:c>
      <x:c r="B27" s="16" t="str">
        <x:v>Harvard University</x:v>
      </x:c>
      <x:c r="C27" s="16" t="str">
        <x:v>FY2025</x:v>
      </x:c>
      <x:c r="D27" s="16" t="str">
        <x:v>USD</x:v>
      </x:c>
      <x:c r="E27" s="16" t="str">
        <x:v>Other</x:v>
      </x:c>
      <x:c r="F27" s="48" t="n">
        <x:v>1139</x:v>
      </x:c>
      <x:c r="G27" s="58" t="n">
        <x:v>0.17</x:v>
      </x:c>
      <x:c r="H27" s="59" t="n">
        <x:f>IF(L27="Primary",IFERROR(F27/SUMIFS($F$4:$F$146,$B$4:$B$146,B27,$C$4:$C$146,C27,$L$4:$L$146,"Primary"),""),"")</x:f>
        <x:v>0.17</x:v>
      </x:c>
      <x:c r="I27" s="16" t="str">
        <x:v>Derived amount from published share × rounded revenue</x:v>
      </x:c>
      <x:c r="J27" s="16" t="str">
        <x:v>https://finance.harvard.edu/financial-overview</x:v>
      </x:c>
      <x:c r="K27" s="16" t="str"/>
      <x:c r="L27" s="16" t="str">
        <x:v>Primary</x:v>
      </x:c>
    </x:row>
    <x:row r="28">
      <x:c r="A28" s="16" t="n">
        <x:v>5</x:v>
      </x:c>
      <x:c r="B28" s="16" t="str">
        <x:v>Harvard University</x:v>
      </x:c>
      <x:c r="C28" s="16" t="str">
        <x:v>FY2025</x:v>
      </x:c>
      <x:c r="D28" s="16" t="str">
        <x:v>USD</x:v>
      </x:c>
      <x:c r="E28" s="16" t="str">
        <x:v>Philanthropy / endowment+gifts</x:v>
      </x:c>
      <x:c r="F28" s="48" t="n">
        <x:v>3082</x:v>
      </x:c>
      <x:c r="G28" s="58" t="n">
        <x:v>0.46</x:v>
      </x:c>
      <x:c r="H28" s="59" t="n">
        <x:f>IF(L28="Primary",IFERROR(F28/SUMIFS($F$4:$F$146,$B$4:$B$146,B28,$C$4:$C$146,C28,$L$4:$L$146,"Primary"),""),"")</x:f>
        <x:v>0.46</x:v>
      </x:c>
      <x:c r="I28" s="16" t="str">
        <x:v>Derived amount from published share × rounded revenue</x:v>
      </x:c>
      <x:c r="J28" s="16" t="str">
        <x:v>https://finance.harvard.edu/financial-overview</x:v>
      </x:c>
      <x:c r="K28" s="16" t="str"/>
      <x:c r="L28" s="16" t="str">
        <x:v>Primary</x:v>
      </x:c>
    </x:row>
    <x:row r="29">
      <x:c r="A29" s="16" t="n">
        <x:v>5</x:v>
      </x:c>
      <x:c r="B29" s="16" t="str">
        <x:v>Harvard University</x:v>
      </x:c>
      <x:c r="C29" s="16" t="str">
        <x:v>FY2025</x:v>
      </x:c>
      <x:c r="D29" s="16" t="str">
        <x:v>USD</x:v>
      </x:c>
      <x:c r="E29" s="16" t="str">
        <x:v>Research</x:v>
      </x:c>
      <x:c r="F29" s="48" t="n">
        <x:v>1005</x:v>
      </x:c>
      <x:c r="G29" s="58" t="n">
        <x:v>0.15</x:v>
      </x:c>
      <x:c r="H29" s="59" t="n">
        <x:f>IF(L29="Primary",IFERROR(F29/SUMIFS($F$4:$F$146,$B$4:$B$146,B29,$C$4:$C$146,C29,$L$4:$L$146,"Primary"),""),"")</x:f>
        <x:v>0.15</x:v>
      </x:c>
      <x:c r="I29" s="16" t="str">
        <x:v>Derived amount from published share × rounded revenue</x:v>
      </x:c>
      <x:c r="J29" s="16" t="str">
        <x:v>https://finance.harvard.edu/financial-overview</x:v>
      </x:c>
      <x:c r="K29" s="16" t="str"/>
      <x:c r="L29" s="16" t="str">
        <x:v>Primary</x:v>
      </x:c>
    </x:row>
    <x:row r="30">
      <x:c r="A30" s="16" t="n">
        <x:v>8</x:v>
      </x:c>
      <x:c r="B30" s="16" t="str">
        <x:v>ETH Zurich</x:v>
      </x:c>
      <x:c r="C30" s="16" t="str">
        <x:v>FY2023</x:v>
      </x:c>
      <x:c r="D30" s="16" t="str">
        <x:v>CHF</x:v>
      </x:c>
      <x:c r="E30" s="16" t="str">
        <x:v>Federal contribution</x:v>
      </x:c>
      <x:c r="F30" s="48" t="n">
        <x:v>1365</x:v>
      </x:c>
      <x:c r="G30" s="58"/>
      <x:c r="H30" s="59" t="str">
        <x:f>IF(L30="Primary",IFERROR(F30/SUMIFS($F$4:$F$146,$B$4:$B$146,B30,$C$4:$C$146,C30,$L$4:$L$146,"Primary"),""),"")</x:f>
      </x:c>
      <x:c r="I30" s="16" t="str">
        <x:v>Reported key lines; partial</x:v>
      </x:c>
      <x:c r="J30" s="16" t="str">
        <x:v>https://ethz.ch/en/the-eth-zurich/organisation/financial-statements.html</x:v>
      </x:c>
      <x:c r="K30" s="16" t="str"/>
      <x:c r="L30" s="16" t="str">
        <x:v>Supplemental</x:v>
      </x:c>
    </x:row>
    <x:row r="31">
      <x:c r="A31" s="16" t="n">
        <x:v>8</x:v>
      </x:c>
      <x:c r="B31" s="16" t="str">
        <x:v>ETH Zurich</x:v>
      </x:c>
      <x:c r="C31" s="16" t="str">
        <x:v>FY2023</x:v>
      </x:c>
      <x:c r="D31" s="16" t="str">
        <x:v>CHF</x:v>
      </x:c>
      <x:c r="E31" s="16" t="str">
        <x:v>SNSF research funding</x:v>
      </x:c>
      <x:c r="F31" s="48" t="n">
        <x:v>144</x:v>
      </x:c>
      <x:c r="G31" s="58"/>
      <x:c r="H31" s="59" t="str">
        <x:f>IF(L31="Primary",IFERROR(F31/SUMIFS($F$4:$F$146,$B$4:$B$146,B31,$C$4:$C$146,C31,$L$4:$L$146,"Primary"),""),"")</x:f>
      </x:c>
      <x:c r="I31" s="16" t="str">
        <x:v>Reported key lines; partial</x:v>
      </x:c>
      <x:c r="J31" s="16" t="str">
        <x:v>https://ethz.ch/en/the-eth-zurich/organisation/financial-statements.html</x:v>
      </x:c>
      <x:c r="K31" s="16" t="str"/>
      <x:c r="L31" s="16" t="str">
        <x:v>Supplemental</x:v>
      </x:c>
    </x:row>
    <x:row r="32">
      <x:c r="A32" s="16" t="n">
        <x:v>8</x:v>
      </x:c>
      <x:c r="B32" s="16" t="str">
        <x:v>ETH Zurich</x:v>
      </x:c>
      <x:c r="C32" s="16" t="str">
        <x:v>FY2023</x:v>
      </x:c>
      <x:c r="D32" s="16" t="str">
        <x:v>CHF</x:v>
      </x:c>
      <x:c r="E32" s="16" t="str">
        <x:v>Tuition/continuing education</x:v>
      </x:c>
      <x:c r="F32" s="48" t="n">
        <x:v>37</x:v>
      </x:c>
      <x:c r="G32" s="58"/>
      <x:c r="H32" s="59" t="str">
        <x:f>IF(L32="Primary",IFERROR(F32/SUMIFS($F$4:$F$146,$B$4:$B$146,B32,$C$4:$C$146,C32,$L$4:$L$146,"Primary"),""),"")</x:f>
      </x:c>
      <x:c r="I32" s="16" t="str">
        <x:v>Reported key lines; partial</x:v>
      </x:c>
      <x:c r="J32" s="16" t="str">
        <x:v>https://ethz.ch/en/the-eth-zurich/organisation/financial-statements.html</x:v>
      </x:c>
      <x:c r="K32" s="16" t="str"/>
      <x:c r="L32" s="16" t="str">
        <x:v>Supplemental</x:v>
      </x:c>
    </x:row>
    <x:row r="33">
      <x:c r="A33" s="16" t="n">
        <x:v>10</x:v>
      </x:c>
      <x:c r="B33" s="16" t="str">
        <x:v>National University of Singapore (NUS)</x:v>
      </x:c>
      <x:c r="C33" s="16" t="str">
        <x:v>FY2024/25</x:v>
      </x:c>
      <x:c r="D33" s="16" t="str">
        <x:v>SGD</x:v>
      </x:c>
      <x:c r="E33" s="16" t="str">
        <x:v>Deferred capital grants amortized</x:v>
      </x:c>
      <x:c r="F33" s="48" t="n">
        <x:v>262.743</x:v>
      </x:c>
      <x:c r="G33" s="58"/>
      <x:c r="H33" s="59" t="n">
        <x:f>IF(L33="Primary",IFERROR(F33/SUMIFS($F$4:$F$146,$B$4:$B$146,B33,$C$4:$C$146,C33,$L$4:$L$146,"Primary"),""),"")</x:f>
        <x:v>0.06768326940925809</x:v>
      </x:c>
      <x:c r="I33" s="16" t="str">
        <x:v>Reported</x:v>
      </x:c>
      <x:c r="J33" s="16" t="str">
        <x:v>https://nus.edu.sg/docs/default-source/annual-report/nus-financial-report-2025.pdf</x:v>
      </x:c>
      <x:c r="K33" s="16" t="str"/>
      <x:c r="L33" s="16" t="str">
        <x:v>Primary</x:v>
      </x:c>
    </x:row>
    <x:row r="34">
      <x:c r="A34" s="16" t="n">
        <x:v>10</x:v>
      </x:c>
      <x:c r="B34" s="16" t="str">
        <x:v>National University of Singapore (NUS)</x:v>
      </x:c>
      <x:c r="C34" s="16" t="str">
        <x:v>FY2024/25</x:v>
      </x:c>
      <x:c r="D34" s="16" t="str">
        <x:v>SGD</x:v>
      </x:c>
      <x:c r="E34" s="16" t="str">
        <x:v>Government operating grants</x:v>
      </x:c>
      <x:c r="F34" s="48" t="n">
        <x:v>1458.715</x:v>
      </x:c>
      <x:c r="G34" s="58"/>
      <x:c r="H34" s="59" t="n">
        <x:f>IF(L34="Primary",IFERROR(F34/SUMIFS($F$4:$F$146,$B$4:$B$146,B34,$C$4:$C$146,C34,$L$4:$L$146,"Primary"),""),"")</x:f>
        <x:v>0.37576871823921437</x:v>
      </x:c>
      <x:c r="I34" s="16" t="str">
        <x:v>Reported</x:v>
      </x:c>
      <x:c r="J34" s="16" t="str">
        <x:v>https://nus.edu.sg/docs/default-source/annual-report/nus-financial-report-2025.pdf</x:v>
      </x:c>
      <x:c r="K34" s="16" t="str"/>
      <x:c r="L34" s="16" t="str">
        <x:v>Primary</x:v>
      </x:c>
    </x:row>
    <x:row r="35">
      <x:c r="A35" s="16" t="n">
        <x:v>10</x:v>
      </x:c>
      <x:c r="B35" s="16" t="str">
        <x:v>National University of Singapore (NUS)</x:v>
      </x:c>
      <x:c r="C35" s="16" t="str">
        <x:v>FY2024/25</x:v>
      </x:c>
      <x:c r="D35" s="16" t="str">
        <x:v>SGD</x:v>
      </x:c>
      <x:c r="E35" s="16" t="str">
        <x:v>Net operating investment income</x:v>
      </x:c>
      <x:c r="F35" s="48" t="n">
        <x:v>454.447</x:v>
      </x:c>
      <x:c r="G35" s="58"/>
      <x:c r="H35" s="59" t="n">
        <x:f>IF(L35="Primary",IFERROR(F35/SUMIFS($F$4:$F$146,$B$4:$B$146,B35,$C$4:$C$146,C35,$L$4:$L$146,"Primary"),""),"")</x:f>
        <x:v>0.11706671056214289</x:v>
      </x:c>
      <x:c r="I35" s="16" t="str">
        <x:v>Reported</x:v>
      </x:c>
      <x:c r="J35" s="16" t="str">
        <x:v>https://nus.edu.sg/docs/default-source/annual-report/nus-financial-report-2025.pdf</x:v>
      </x:c>
      <x:c r="K35" s="16" t="str"/>
      <x:c r="L35" s="16" t="str">
        <x:v>Primary</x:v>
      </x:c>
    </x:row>
    <x:row r="36">
      <x:c r="A36" s="16" t="n">
        <x:v>10</x:v>
      </x:c>
      <x:c r="B36" s="16" t="str">
        <x:v>National University of Singapore (NUS)</x:v>
      </x:c>
      <x:c r="C36" s="16" t="str">
        <x:v>FY2024/25</x:v>
      </x:c>
      <x:c r="D36" s="16" t="str">
        <x:v>SGD</x:v>
      </x:c>
      <x:c r="E36" s="16" t="str">
        <x:v>Net tuition &amp; other fees</x:v>
      </x:c>
      <x:c r="F36" s="48" t="n">
        <x:v>821.362</x:v>
      </x:c>
      <x:c r="G36" s="58"/>
      <x:c r="H36" s="59" t="n">
        <x:f>IF(L36="Primary",IFERROR(F36/SUMIFS($F$4:$F$146,$B$4:$B$146,B36,$C$4:$C$146,C36,$L$4:$L$146,"Primary"),""),"")</x:f>
        <x:v>0.21158495384663736</x:v>
      </x:c>
      <x:c r="I36" s="16" t="str">
        <x:v>Reported</x:v>
      </x:c>
      <x:c r="J36" s="16" t="str">
        <x:v>https://nus.edu.sg/docs/default-source/annual-report/nus-financial-report-2025.pdf</x:v>
      </x:c>
      <x:c r="K36" s="16" t="str"/>
      <x:c r="L36" s="16" t="str">
        <x:v>Primary</x:v>
      </x:c>
    </x:row>
    <x:row r="37">
      <x:c r="A37" s="16" t="n">
        <x:v>10</x:v>
      </x:c>
      <x:c r="B37" s="16" t="str">
        <x:v>National University of Singapore (NUS)</x:v>
      </x:c>
      <x:c r="C37" s="16" t="str">
        <x:v>FY2024/25</x:v>
      </x:c>
      <x:c r="D37" s="16" t="str">
        <x:v>SGD</x:v>
      </x:c>
      <x:c r="E37" s="16" t="str">
        <x:v>Non-operating investment income</x:v>
      </x:c>
      <x:c r="F37" s="48" t="n">
        <x:v>67.969</x:v>
      </x:c>
      <x:c r="G37" s="58"/>
      <x:c r="H37" s="59" t="n">
        <x:f>IF(L37="Primary",IFERROR(F37/SUMIFS($F$4:$F$146,$B$4:$B$146,B37,$C$4:$C$146,C37,$L$4:$L$146,"Primary"),""),"")</x:f>
        <x:v>0.017508988397323098</x:v>
      </x:c>
      <x:c r="I37" s="16" t="str">
        <x:v>Reported</x:v>
      </x:c>
      <x:c r="J37" s="16" t="str">
        <x:v>https://nus.edu.sg/docs/default-source/annual-report/nus-financial-report-2025.pdf</x:v>
      </x:c>
      <x:c r="K37" s="16" t="str"/>
      <x:c r="L37" s="16" t="str">
        <x:v>Primary</x:v>
      </x:c>
    </x:row>
    <x:row r="38">
      <x:c r="A38" s="16" t="n">
        <x:v>10</x:v>
      </x:c>
      <x:c r="B38" s="16" t="str">
        <x:v>National University of Singapore (NUS)</x:v>
      </x:c>
      <x:c r="C38" s="16" t="str">
        <x:v>FY2024/25</x:v>
      </x:c>
      <x:c r="D38" s="16" t="str">
        <x:v>SGD</x:v>
      </x:c>
      <x:c r="E38" s="16" t="str">
        <x:v>Other income</x:v>
      </x:c>
      <x:c r="F38" s="48" t="n">
        <x:v>411.598</x:v>
      </x:c>
      <x:c r="G38" s="58"/>
      <x:c r="H38" s="59" t="n">
        <x:f>IF(L38="Primary",IFERROR(F38/SUMIFS($F$4:$F$146,$B$4:$B$146,B38,$C$4:$C$146,C38,$L$4:$L$146,"Primary"),""),"")</x:f>
        <x:v>0.10602869847079394</x:v>
      </x:c>
      <x:c r="I38" s="16" t="str">
        <x:v>Reported</x:v>
      </x:c>
      <x:c r="J38" s="16" t="str">
        <x:v>https://nus.edu.sg/docs/default-source/annual-report/nus-financial-report-2025.pdf</x:v>
      </x:c>
      <x:c r="K38" s="16" t="str"/>
      <x:c r="L38" s="16" t="str">
        <x:v>Primary</x:v>
      </x:c>
    </x:row>
    <x:row r="39">
      <x:c r="A39" s="16" t="n">
        <x:v>10</x:v>
      </x:c>
      <x:c r="B39" s="16" t="str">
        <x:v>National University of Singapore (NUS)</x:v>
      </x:c>
      <x:c r="C39" s="16" t="str">
        <x:v>FY2024/25</x:v>
      </x:c>
      <x:c r="D39" s="16" t="str">
        <x:v>SGD</x:v>
      </x:c>
      <x:c r="E39" s="16" t="str">
        <x:v>Other operating grants</x:v>
      </x:c>
      <x:c r="F39" s="48" t="n">
        <x:v>390.977</x:v>
      </x:c>
      <x:c r="G39" s="58"/>
      <x:c r="H39" s="59" t="n">
        <x:f>IF(L39="Primary",IFERROR(F39/SUMIFS($F$4:$F$146,$B$4:$B$146,B39,$C$4:$C$146,C39,$L$4:$L$146,"Primary"),""),"")</x:f>
        <x:v>0.10071667608204024</x:v>
      </x:c>
      <x:c r="I39" s="16" t="str">
        <x:v>Reported</x:v>
      </x:c>
      <x:c r="J39" s="16" t="str">
        <x:v>https://nus.edu.sg/docs/default-source/annual-report/nus-financial-report-2025.pdf</x:v>
      </x:c>
      <x:c r="K39" s="16" t="str"/>
      <x:c r="L39" s="16" t="str">
        <x:v>Primary</x:v>
      </x:c>
    </x:row>
    <x:row r="40">
      <x:c r="A40" s="16" t="n">
        <x:v>10</x:v>
      </x:c>
      <x:c r="B40" s="16" t="str">
        <x:v>National University of Singapore (NUS)</x:v>
      </x:c>
      <x:c r="C40" s="16" t="str">
        <x:v>FY2024/25</x:v>
      </x:c>
      <x:c r="D40" s="16" t="str">
        <x:v>SGD</x:v>
      </x:c>
      <x:c r="E40" s="16" t="str">
        <x:v>Share of associates</x:v>
      </x:c>
      <x:c r="F40" s="48" t="n">
        <x:v>14.138</x:v>
      </x:c>
      <x:c r="G40" s="58"/>
      <x:c r="H40" s="59" t="n">
        <x:f>IF(L40="Primary",IFERROR(F40/SUMIFS($F$4:$F$146,$B$4:$B$146,B40,$C$4:$C$146,C40,$L$4:$L$146,"Primary"),""),"")</x:f>
        <x:v>0.0036419849925900627</x:v>
      </x:c>
      <x:c r="I40" s="16" t="str">
        <x:v>Reported</x:v>
      </x:c>
      <x:c r="J40" s="16" t="str">
        <x:v>https://nus.edu.sg/docs/default-source/annual-report/nus-financial-report-2025.pdf</x:v>
      </x:c>
      <x:c r="K40" s="16" t="str"/>
      <x:c r="L40" s="16" t="str">
        <x:v>Primary</x:v>
      </x:c>
    </x:row>
    <x:row r="41">
      <x:c r="A41" s="16" t="n">
        <x:v>11</x:v>
      </x:c>
      <x:c r="B41" s="16" t="str">
        <x:v>The University of Hong Kong</x:v>
      </x:c>
      <x:c r="C41" s="16" t="str">
        <x:v>FY2024/25</x:v>
      </x:c>
      <x:c r="D41" s="16" t="str">
        <x:v>HKD</x:v>
      </x:c>
      <x:c r="E41" s="16" t="str">
        <x:v>Auxiliary services</x:v>
      </x:c>
      <x:c r="F41" s="48" t="n">
        <x:v>463.661</x:v>
      </x:c>
      <x:c r="G41" s="58"/>
      <x:c r="H41" s="59" t="n">
        <x:f>IF(L41="Primary",IFERROR(F41/SUMIFS($F$4:$F$146,$B$4:$B$146,B41,$C$4:$C$146,C41,$L$4:$L$146,"Primary"),""),"")</x:f>
        <x:v>0.024687150436725647</x:v>
      </x:c>
      <x:c r="I41" s="16" t="str">
        <x:v>Reported</x:v>
      </x:c>
      <x:c r="J41" s="16" t="str">
        <x:v>https://annualreport.hku.hk/2025/annual-accounts.html</x:v>
      </x:c>
      <x:c r="K41" s="16" t="str"/>
      <x:c r="L41" s="16" t="str">
        <x:v>Primary</x:v>
      </x:c>
    </x:row>
    <x:row r="42">
      <x:c r="A42" s="16" t="n">
        <x:v>11</x:v>
      </x:c>
      <x:c r="B42" s="16" t="str">
        <x:v>The University of Hong Kong</x:v>
      </x:c>
      <x:c r="C42" s="16" t="str">
        <x:v>FY2024/25</x:v>
      </x:c>
      <x:c r="D42" s="16" t="str">
        <x:v>HKD</x:v>
      </x:c>
      <x:c r="E42" s="16" t="str">
        <x:v>Donations &amp; benefactions</x:v>
      </x:c>
      <x:c r="F42" s="48" t="n">
        <x:v>944.68</x:v>
      </x:c>
      <x:c r="G42" s="58"/>
      <x:c r="H42" s="59" t="n">
        <x:f>IF(L42="Primary",IFERROR(F42/SUMIFS($F$4:$F$146,$B$4:$B$146,B42,$C$4:$C$146,C42,$L$4:$L$146,"Primary"),""),"")</x:f>
        <x:v>0.05029850963217951</x:v>
      </x:c>
      <x:c r="I42" s="16" t="str">
        <x:v>Reported</x:v>
      </x:c>
      <x:c r="J42" s="16" t="str">
        <x:v>https://annualreport.hku.hk/2025/annual-accounts.html</x:v>
      </x:c>
      <x:c r="K42" s="16" t="str"/>
      <x:c r="L42" s="16" t="str">
        <x:v>Primary</x:v>
      </x:c>
    </x:row>
    <x:row r="43">
      <x:c r="A43" s="16" t="n">
        <x:v>11</x:v>
      </x:c>
      <x:c r="B43" s="16" t="str">
        <x:v>The University of Hong Kong</x:v>
      </x:c>
      <x:c r="C43" s="16" t="str">
        <x:v>FY2024/25</x:v>
      </x:c>
      <x:c r="D43" s="16" t="str">
        <x:v>HKD</x:v>
      </x:c>
      <x:c r="E43" s="16" t="str">
        <x:v>Government subventions</x:v>
      </x:c>
      <x:c r="F43" s="48" t="n">
        <x:v>6636.014</x:v>
      </x:c>
      <x:c r="G43" s="58"/>
      <x:c r="H43" s="59" t="n">
        <x:f>IF(L43="Primary",IFERROR(F43/SUMIFS($F$4:$F$146,$B$4:$B$146,B43,$C$4:$C$146,C43,$L$4:$L$146,"Primary"),""),"")</x:f>
        <x:v>0.3533277026064679</x:v>
      </x:c>
      <x:c r="I43" s="16" t="str">
        <x:v>Reported</x:v>
      </x:c>
      <x:c r="J43" s="16" t="str">
        <x:v>https://annualreport.hku.hk/2025/annual-accounts.html</x:v>
      </x:c>
      <x:c r="K43" s="16" t="str"/>
      <x:c r="L43" s="16" t="str">
        <x:v>Primary</x:v>
      </x:c>
    </x:row>
    <x:row r="44">
      <x:c r="A44" s="16" t="n">
        <x:v>11</x:v>
      </x:c>
      <x:c r="B44" s="16" t="str">
        <x:v>The University of Hong Kong</x:v>
      </x:c>
      <x:c r="C44" s="16" t="str">
        <x:v>FY2024/25</x:v>
      </x:c>
      <x:c r="D44" s="16" t="str">
        <x:v>HKD</x:v>
      </x:c>
      <x:c r="E44" s="16" t="str">
        <x:v>Interest &amp; investment gain, net</x:v>
      </x:c>
      <x:c r="F44" s="48" t="n">
        <x:v>2646.567</x:v>
      </x:c>
      <x:c r="G44" s="58"/>
      <x:c r="H44" s="59" t="n">
        <x:f>IF(L44="Primary",IFERROR(F44/SUMIFS($F$4:$F$146,$B$4:$B$146,B44,$C$4:$C$146,C44,$L$4:$L$146,"Primary"),""),"")</x:f>
        <x:v>0.14091372289209936</x:v>
      </x:c>
      <x:c r="I44" s="16" t="str">
        <x:v>Reported</x:v>
      </x:c>
      <x:c r="J44" s="16" t="str">
        <x:v>https://annualreport.hku.hk/2025/annual-accounts.html</x:v>
      </x:c>
      <x:c r="K44" s="16" t="str"/>
      <x:c r="L44" s="16" t="str">
        <x:v>Primary</x:v>
      </x:c>
    </x:row>
    <x:row r="45">
      <x:c r="A45" s="16" t="n">
        <x:v>11</x:v>
      </x:c>
      <x:c r="B45" s="16" t="str">
        <x:v>The University of Hong Kong</x:v>
      </x:c>
      <x:c r="C45" s="16" t="str">
        <x:v>FY2024/25</x:v>
      </x:c>
      <x:c r="D45" s="16" t="str">
        <x:v>HKD</x:v>
      </x:c>
      <x:c r="E45" s="16" t="str">
        <x:v>Other income</x:v>
      </x:c>
      <x:c r="F45" s="48" t="n">
        <x:v>1335.664</x:v>
      </x:c>
      <x:c r="G45" s="58"/>
      <x:c r="H45" s="59" t="n">
        <x:f>IF(L45="Primary",IFERROR(F45/SUMIFS($F$4:$F$146,$B$4:$B$146,B45,$C$4:$C$146,C45,$L$4:$L$146,"Primary"),""),"")</x:f>
        <x:v>0.07111604836490178</x:v>
      </x:c>
      <x:c r="I45" s="16" t="str">
        <x:v>Reported</x:v>
      </x:c>
      <x:c r="J45" s="16" t="str">
        <x:v>https://annualreport.hku.hk/2025/annual-accounts.html</x:v>
      </x:c>
      <x:c r="K45" s="16" t="str"/>
      <x:c r="L45" s="16" t="str">
        <x:v>Primary</x:v>
      </x:c>
    </x:row>
    <x:row r="46">
      <x:c r="A46" s="16" t="n">
        <x:v>11</x:v>
      </x:c>
      <x:c r="B46" s="16" t="str">
        <x:v>The University of Hong Kong</x:v>
      </x:c>
      <x:c r="C46" s="16" t="str">
        <x:v>FY2024/25</x:v>
      </x:c>
      <x:c r="D46" s="16" t="str">
        <x:v>HKD</x:v>
      </x:c>
      <x:c r="E46" s="16" t="str">
        <x:v>Tuition/programmes/other fees</x:v>
      </x:c>
      <x:c r="F46" s="48" t="n">
        <x:v>6754.885</x:v>
      </x:c>
      <x:c r="G46" s="58"/>
      <x:c r="H46" s="59" t="n">
        <x:f>IF(L46="Primary",IFERROR(F46/SUMIFS($F$4:$F$146,$B$4:$B$146,B46,$C$4:$C$146,C46,$L$4:$L$146,"Primary"),""),"")</x:f>
        <x:v>0.359656866067626</x:v>
      </x:c>
      <x:c r="I46" s="16" t="str">
        <x:v>Reported</x:v>
      </x:c>
      <x:c r="J46" s="16" t="str">
        <x:v>https://annualreport.hku.hk/2025/annual-accounts.html</x:v>
      </x:c>
      <x:c r="K46" s="16" t="str"/>
      <x:c r="L46" s="16" t="str">
        <x:v>Primary</x:v>
      </x:c>
    </x:row>
    <x:row r="47">
      <x:c r="A47" s="16" t="n">
        <x:v>13</x:v>
      </x:c>
      <x:c r="B47" s="16" t="str">
        <x:v>Peking University</x:v>
      </x:c>
      <x:c r="C47" s="16" t="str">
        <x:v>FY2025 final accounts</x:v>
      </x:c>
      <x:c r="D47" s="16" t="str">
        <x:v>CNY</x:v>
      </x:c>
      <x:c r="E47" s="16" t="str">
        <x:v>Fiscal appropriation</x:v>
      </x:c>
      <x:c r="F47" s="48" t="n">
        <x:v>6257.6707</x:v>
      </x:c>
      <x:c r="G47" s="58"/>
      <x:c r="H47" s="59" t="n">
        <x:f>IF(L47="Primary",IFERROR(F47/SUMIFS($F$4:$F$146,$B$4:$B$146,B47,$C$4:$C$146,C47,$L$4:$L$146,"Primary"),""),"")</x:f>
        <x:v>0.35179411142686107</x:v>
      </x:c>
      <x:c r="I47" s="16" t="str">
        <x:v>Reported budgetary</x:v>
      </x:c>
      <x:c r="J47" s="16" t="str">
        <x:v>https://xxgk.pku.edu.cn/docs/2026-08/a370fd617ccb405e84dc53cb726502e2.pdf</x:v>
      </x:c>
      <x:c r="K47" s="16" t="str">
        <x:v>Includes government fund budget appropriation</x:v>
      </x:c>
      <x:c r="L47" s="16" t="str">
        <x:v>Primary</x:v>
      </x:c>
    </x:row>
    <x:row r="48">
      <x:c r="A48" s="16" t="n">
        <x:v>13</x:v>
      </x:c>
      <x:c r="B48" s="16" t="str">
        <x:v>Peking University</x:v>
      </x:c>
      <x:c r="C48" s="16" t="str">
        <x:v>FY2025 final accounts</x:v>
      </x:c>
      <x:c r="D48" s="16" t="str">
        <x:v>CNY</x:v>
      </x:c>
      <x:c r="E48" s="16" t="str">
        <x:v>Other income</x:v>
      </x:c>
      <x:c r="F48" s="48" t="n">
        <x:v>2910.0171</x:v>
      </x:c>
      <x:c r="G48" s="58"/>
      <x:c r="H48" s="59" t="n">
        <x:f>IF(L48="Primary",IFERROR(F48/SUMIFS($F$4:$F$146,$B$4:$B$146,B48,$C$4:$C$146,C48,$L$4:$L$146,"Primary"),""),"")</x:f>
        <x:v>0.1635955180465906</x:v>
      </x:c>
      <x:c r="I48" s="16" t="str">
        <x:v>Reported budgetary</x:v>
      </x:c>
      <x:c r="J48" s="16" t="str">
        <x:v>https://xxgk.pku.edu.cn/docs/2026-08/a370fd617ccb405e84dc53cb726502e2.pdf</x:v>
      </x:c>
      <x:c r="K48" s="16" t="str">
        <x:v>Public-sector budget category</x:v>
      </x:c>
      <x:c r="L48" s="16" t="str">
        <x:v>Primary</x:v>
      </x:c>
    </x:row>
    <x:row r="49">
      <x:c r="A49" s="16" t="n">
        <x:v>13</x:v>
      </x:c>
      <x:c r="B49" s="16" t="str">
        <x:v>Peking University</x:v>
      </x:c>
      <x:c r="C49" s="16" t="str">
        <x:v>FY2025 final accounts</x:v>
      </x:c>
      <x:c r="D49" s="16" t="str">
        <x:v>CNY</x:v>
      </x:c>
      <x:c r="E49" s="16" t="str">
        <x:v>事业收入 / operating-service income</x:v>
      </x:c>
      <x:c r="F49" s="48" t="n">
        <x:v>8620.1901</x:v>
      </x:c>
      <x:c r="G49" s="58"/>
      <x:c r="H49" s="59" t="n">
        <x:f>IF(L49="Primary",IFERROR(F49/SUMIFS($F$4:$F$146,$B$4:$B$146,B49,$C$4:$C$146,C49,$L$4:$L$146,"Primary"),""),"")</x:f>
        <x:v>0.4846103705265483</x:v>
      </x:c>
      <x:c r="I49" s="16" t="str">
        <x:v>Reported budgetary</x:v>
      </x:c>
      <x:c r="J49" s="16" t="str">
        <x:v>https://xxgk.pku.edu.cn/docs/2026-08/a370fd617ccb405e84dc53cb726502e2.pdf</x:v>
      </x:c>
      <x:c r="K49" s="16" t="str">
        <x:v>Public-sector budget category</x:v>
      </x:c>
      <x:c r="L49" s="16" t="str">
        <x:v>Primary</x:v>
      </x:c>
    </x:row>
    <x:row r="50">
      <x:c r="A50" s="16" t="n">
        <x:v>14</x:v>
      </x:c>
      <x:c r="B50" s="16" t="str">
        <x:v>Tsinghua University</x:v>
      </x:c>
      <x:c r="C50" s="16" t="str">
        <x:v>FY2025 final accounts</x:v>
      </x:c>
      <x:c r="D50" s="16" t="str">
        <x:v>CNY</x:v>
      </x:c>
      <x:c r="E50" s="16" t="str">
        <x:v>Fiscal appropriation</x:v>
      </x:c>
      <x:c r="F50" s="48" t="n">
        <x:v>6123.4785</x:v>
      </x:c>
      <x:c r="G50" s="58"/>
      <x:c r="H50" s="59" t="n">
        <x:f>IF(L50="Primary",IFERROR(F50/SUMIFS($F$4:$F$146,$B$4:$B$146,B50,$C$4:$C$146,C50,$L$4:$L$146,"Primary"),""),"")</x:f>
        <x:v>0.22375430932727214</x:v>
      </x:c>
      <x:c r="I50" s="16" t="str">
        <x:v>Reported budgetary</x:v>
      </x:c>
      <x:c r="J50" s="16" t="str">
        <x:v>https://www.tsinghua.edu.cn/__local/D/36/72/95594450951E25283DD5E82BF22_3B0FFE88_69AC7.pdf</x:v>
      </x:c>
      <x:c r="K50" s="16" t="str">
        <x:v>Includes government fund budget appropriation</x:v>
      </x:c>
      <x:c r="L50" s="16" t="str">
        <x:v>Primary</x:v>
      </x:c>
    </x:row>
    <x:row r="51">
      <x:c r="A51" s="16" t="n">
        <x:v>14</x:v>
      </x:c>
      <x:c r="B51" s="16" t="str">
        <x:v>Tsinghua University</x:v>
      </x:c>
      <x:c r="C51" s="16" t="str">
        <x:v>FY2025 final accounts</x:v>
      </x:c>
      <x:c r="D51" s="16" t="str">
        <x:v>CNY</x:v>
      </x:c>
      <x:c r="E51" s="16" t="str">
        <x:v>Other income</x:v>
      </x:c>
      <x:c r="F51" s="48" t="n">
        <x:v>6492.178</x:v>
      </x:c>
      <x:c r="G51" s="58"/>
      <x:c r="H51" s="59" t="n">
        <x:f>IF(L51="Primary",IFERROR(F51/SUMIFS($F$4:$F$146,$B$4:$B$146,B51,$C$4:$C$146,C51,$L$4:$L$146,"Primary"),""),"")</x:f>
        <x:v>0.23722673386045381</x:v>
      </x:c>
      <x:c r="I51" s="16" t="str">
        <x:v>Reported budgetary</x:v>
      </x:c>
      <x:c r="J51" s="16" t="str">
        <x:v>https://www.tsinghua.edu.cn/__local/D/36/72/95594450951E25283DD5E82BF22_3B0FFE88_69AC7.pdf</x:v>
      </x:c>
      <x:c r="K51" s="16" t="str">
        <x:v>Includes donations; donation subset ≈ CNY 1,396.5m</x:v>
      </x:c>
      <x:c r="L51" s="16" t="str">
        <x:v>Primary</x:v>
      </x:c>
    </x:row>
    <x:row r="52">
      <x:c r="A52" s="16" t="n">
        <x:v>14</x:v>
      </x:c>
      <x:c r="B52" s="16" t="str">
        <x:v>Tsinghua University</x:v>
      </x:c>
      <x:c r="C52" s="16" t="str">
        <x:v>FY2025 final accounts</x:v>
      </x:c>
      <x:c r="D52" s="16" t="str">
        <x:v>CNY</x:v>
      </x:c>
      <x:c r="E52" s="16" t="str">
        <x:v>事业收入 / operating-service income</x:v>
      </x:c>
      <x:c r="F52" s="48" t="n">
        <x:v>14751.3181</x:v>
      </x:c>
      <x:c r="G52" s="58"/>
      <x:c r="H52" s="59" t="n">
        <x:f>IF(L52="Primary",IFERROR(F52/SUMIFS($F$4:$F$146,$B$4:$B$146,B52,$C$4:$C$146,C52,$L$4:$L$146,"Primary"),""),"")</x:f>
        <x:v>0.539018956812274</x:v>
      </x:c>
      <x:c r="I52" s="16" t="str">
        <x:v>Reported budgetary</x:v>
      </x:c>
      <x:c r="J52" s="16" t="str">
        <x:v>https://www.tsinghua.edu.cn/__local/D/36/72/95594450951E25283DD5E82BF22_3B0FFE88_69AC7.pdf</x:v>
      </x:c>
      <x:c r="K52" s="16" t="str">
        <x:v>Public-sector budget category</x:v>
      </x:c>
      <x:c r="L52" s="16" t="str">
        <x:v>Primary</x:v>
      </x:c>
    </x:row>
    <x:row r="53">
      <x:c r="A53" s="16" t="n">
        <x:v>15</x:v>
      </x:c>
      <x:c r="B53" s="16" t="str">
        <x:v>University of Pennsylvania</x:v>
      </x:c>
      <x:c r="C53" s="16" t="str">
        <x:v>FY2021</x:v>
      </x:c>
      <x:c r="D53" s="16" t="str">
        <x:v>USD</x:v>
      </x:c>
      <x:c r="E53" s="16" t="str">
        <x:v>Contributions</x:v>
      </x:c>
      <x:c r="F53" s="48" t="n">
        <x:v>203.20000000000002</x:v>
      </x:c>
      <x:c r="G53" s="58" t="n">
        <x:v>0.016</x:v>
      </x:c>
      <x:c r="H53" s="59" t="n">
        <x:f>IF(L53="Primary",IFERROR(F53/SUMIFS($F$4:$F$146,$B$4:$B$146,B53,$C$4:$C$146,C53,$L$4:$L$146,"Primary"),""),"")</x:f>
        <x:v>0.016</x:v>
      </x:c>
      <x:c r="I53" s="16" t="str">
        <x:v>Historical mix; derived amount from share × FY21 revenue</x:v>
      </x:c>
      <x:c r="J53" s="16" t="str">
        <x:v>https://www.finance.upenn.edu/wp-content/uploads/Penn-Division-of-Finance-FY24-Annual-Report.pdf</x:v>
      </x:c>
      <x:c r="K53" s="16" t="str"/>
      <x:c r="L53" s="16" t="str">
        <x:v>Primary</x:v>
      </x:c>
    </x:row>
    <x:row r="54">
      <x:c r="A54" s="16" t="n">
        <x:v>15</x:v>
      </x:c>
      <x:c r="B54" s="16" t="str">
        <x:v>University of Pennsylvania</x:v>
      </x:c>
      <x:c r="C54" s="16" t="str">
        <x:v>FY2021</x:v>
      </x:c>
      <x:c r="D54" s="16" t="str">
        <x:v>USD</x:v>
      </x:c>
      <x:c r="E54" s="16" t="str">
        <x:v>Investment income</x:v>
      </x:c>
      <x:c r="F54" s="48" t="n">
        <x:v>850.9000000000001</x:v>
      </x:c>
      <x:c r="G54" s="58" t="n">
        <x:v>0.067</x:v>
      </x:c>
      <x:c r="H54" s="59" t="n">
        <x:f>IF(L54="Primary",IFERROR(F54/SUMIFS($F$4:$F$146,$B$4:$B$146,B54,$C$4:$C$146,C54,$L$4:$L$146,"Primary"),""),"")</x:f>
        <x:v>0.067</x:v>
      </x:c>
      <x:c r="I54" s="16" t="str">
        <x:v>Historical mix; derived amount from share × FY21 revenue</x:v>
      </x:c>
      <x:c r="J54" s="16" t="str">
        <x:v>https://www.finance.upenn.edu/wp-content/uploads/Penn-Division-of-Finance-FY24-Annual-Report.pdf</x:v>
      </x:c>
      <x:c r="K54" s="16" t="str"/>
      <x:c r="L54" s="16" t="str">
        <x:v>Primary</x:v>
      </x:c>
    </x:row>
    <x:row r="55">
      <x:c r="A55" s="16" t="n">
        <x:v>15</x:v>
      </x:c>
      <x:c r="B55" s="16" t="str">
        <x:v>University of Pennsylvania</x:v>
      </x:c>
      <x:c r="C55" s="16" t="str">
        <x:v>FY2021</x:v>
      </x:c>
      <x:c r="D55" s="16" t="str">
        <x:v>USD</x:v>
      </x:c>
      <x:c r="E55" s="16" t="str">
        <x:v>Net patient service</x:v>
      </x:c>
      <x:c r="F55" s="48" t="n">
        <x:v>7556.5</x:v>
      </x:c>
      <x:c r="G55" s="58" t="n">
        <x:v>0.595</x:v>
      </x:c>
      <x:c r="H55" s="59" t="n">
        <x:f>IF(L55="Primary",IFERROR(F55/SUMIFS($F$4:$F$146,$B$4:$B$146,B55,$C$4:$C$146,C55,$L$4:$L$146,"Primary"),""),"")</x:f>
        <x:v>0.595</x:v>
      </x:c>
      <x:c r="I55" s="16" t="str">
        <x:v>Historical mix; derived amount from share × FY21 revenue</x:v>
      </x:c>
      <x:c r="J55" s="16" t="str">
        <x:v>https://www.finance.upenn.edu/wp-content/uploads/Penn-Division-of-Finance-FY24-Annual-Report.pdf</x:v>
      </x:c>
      <x:c r="K55" s="16" t="str"/>
      <x:c r="L55" s="16" t="str">
        <x:v>Primary</x:v>
      </x:c>
    </x:row>
    <x:row r="56">
      <x:c r="A56" s="16" t="n">
        <x:v>15</x:v>
      </x:c>
      <x:c r="B56" s="16" t="str">
        <x:v>University of Pennsylvania</x:v>
      </x:c>
      <x:c r="C56" s="16" t="str">
        <x:v>FY2021</x:v>
      </x:c>
      <x:c r="D56" s="16" t="str">
        <x:v>USD</x:v>
      </x:c>
      <x:c r="E56" s="16" t="str">
        <x:v>Other</x:v>
      </x:c>
      <x:c r="F56" s="48" t="n">
        <x:v>1828.8</x:v>
      </x:c>
      <x:c r="G56" s="58" t="n">
        <x:v>0.144</x:v>
      </x:c>
      <x:c r="H56" s="59" t="n">
        <x:f>IF(L56="Primary",IFERROR(F56/SUMIFS($F$4:$F$146,$B$4:$B$146,B56,$C$4:$C$146,C56,$L$4:$L$146,"Primary"),""),"")</x:f>
        <x:v>0.144</x:v>
      </x:c>
      <x:c r="I56" s="16" t="str">
        <x:v>Historical mix; derived amount from share × FY21 revenue</x:v>
      </x:c>
      <x:c r="J56" s="16" t="str">
        <x:v>https://www.finance.upenn.edu/wp-content/uploads/Penn-Division-of-Finance-FY24-Annual-Report.pdf</x:v>
      </x:c>
      <x:c r="K56" s="16" t="str"/>
      <x:c r="L56" s="16" t="str">
        <x:v>Primary</x:v>
      </x:c>
    </x:row>
    <x:row r="57">
      <x:c r="A57" s="16" t="n">
        <x:v>15</x:v>
      </x:c>
      <x:c r="B57" s="16" t="str">
        <x:v>University of Pennsylvania</x:v>
      </x:c>
      <x:c r="C57" s="16" t="str">
        <x:v>FY2021</x:v>
      </x:c>
      <x:c r="D57" s="16" t="str">
        <x:v>USD</x:v>
      </x:c>
      <x:c r="E57" s="16" t="str">
        <x:v>Sponsored programs</x:v>
      </x:c>
      <x:c r="F57" s="48" t="n">
        <x:v>1155.7</x:v>
      </x:c>
      <x:c r="G57" s="58" t="n">
        <x:v>0.091</x:v>
      </x:c>
      <x:c r="H57" s="59" t="n">
        <x:f>IF(L57="Primary",IFERROR(F57/SUMIFS($F$4:$F$146,$B$4:$B$146,B57,$C$4:$C$146,C57,$L$4:$L$146,"Primary"),""),"")</x:f>
        <x:v>0.091</x:v>
      </x:c>
      <x:c r="I57" s="16" t="str">
        <x:v>Historical mix; derived amount from share × FY21 revenue</x:v>
      </x:c>
      <x:c r="J57" s="16" t="str">
        <x:v>https://www.finance.upenn.edu/wp-content/uploads/Penn-Division-of-Finance-FY24-Annual-Report.pdf</x:v>
      </x:c>
      <x:c r="K57" s="16" t="str"/>
      <x:c r="L57" s="16" t="str">
        <x:v>Primary</x:v>
      </x:c>
    </x:row>
    <x:row r="58">
      <x:c r="A58" s="16" t="n">
        <x:v>15</x:v>
      </x:c>
      <x:c r="B58" s="16" t="str">
        <x:v>University of Pennsylvania</x:v>
      </x:c>
      <x:c r="C58" s="16" t="str">
        <x:v>FY2021</x:v>
      </x:c>
      <x:c r="D58" s="16" t="str">
        <x:v>USD</x:v>
      </x:c>
      <x:c r="E58" s="16" t="str">
        <x:v>Tuition &amp; fees</x:v>
      </x:c>
      <x:c r="F58" s="48" t="n">
        <x:v>1104.8999999999999</x:v>
      </x:c>
      <x:c r="G58" s="58" t="n">
        <x:v>0.087</x:v>
      </x:c>
      <x:c r="H58" s="59" t="n">
        <x:f>IF(L58="Primary",IFERROR(F58/SUMIFS($F$4:$F$146,$B$4:$B$146,B58,$C$4:$C$146,C58,$L$4:$L$146,"Primary"),""),"")</x:f>
        <x:v>0.087</x:v>
      </x:c>
      <x:c r="I58" s="16" t="str">
        <x:v>Historical mix; derived amount from share × FY21 revenue</x:v>
      </x:c>
      <x:c r="J58" s="16" t="str">
        <x:v>https://www.finance.upenn.edu/wp-content/uploads/Penn-Division-of-Finance-FY24-Annual-Report.pdf</x:v>
      </x:c>
      <x:c r="K58" s="16" t="str"/>
      <x:c r="L58" s="16" t="str">
        <x:v>Primary</x:v>
      </x:c>
    </x:row>
    <x:row r="59">
      <x:c r="A59" s="16" t="n">
        <x:v>16</x:v>
      </x:c>
      <x:c r="B59" s="16" t="str">
        <x:v>Cornell University</x:v>
      </x:c>
      <x:c r="C59" s="16" t="str">
        <x:v>FY2025</x:v>
      </x:c>
      <x:c r="D59" s="16" t="str">
        <x:v>USD</x:v>
      </x:c>
      <x:c r="E59" s="16" t="str">
        <x:v>Auxiliary</x:v>
      </x:c>
      <x:c r="F59" s="48" t="n">
        <x:v>241</x:v>
      </x:c>
      <x:c r="G59" s="58" t="n">
        <x:v>0.04</x:v>
      </x:c>
      <x:c r="H59" s="59" t="n">
        <x:f>IF(L59="Primary",IFERROR(F59/SUMIFS($F$4:$F$146,$B$4:$B$146,B59,$C$4:$C$146,C59,$L$4:$L$146,"Primary"),""),"")</x:f>
        <x:v>0.03613193403298351</x:v>
      </x:c>
      <x:c r="I59" s="16" t="str">
        <x:v>Operating budget</x:v>
      </x:c>
      <x:c r="J59" s="16" t="str">
        <x:v>https://finance.cornell.edu/financial-guide/operating-budget-sources-and-uses/operating-budget-revenue</x:v>
      </x:c>
      <x:c r="K59" s="16" t="str"/>
      <x:c r="L59" s="16" t="str">
        <x:v>Primary</x:v>
      </x:c>
    </x:row>
    <x:row r="60">
      <x:c r="A60" s="16" t="n">
        <x:v>16</x:v>
      </x:c>
      <x:c r="B60" s="16" t="str">
        <x:v>Cornell University</x:v>
      </x:c>
      <x:c r="C60" s="16" t="str">
        <x:v>FY2025</x:v>
      </x:c>
      <x:c r="D60" s="16" t="str">
        <x:v>USD</x:v>
      </x:c>
      <x:c r="E60" s="16" t="str">
        <x:v>Contributions</x:v>
      </x:c>
      <x:c r="F60" s="48" t="n">
        <x:v>374</x:v>
      </x:c>
      <x:c r="G60" s="58" t="n">
        <x:v>0.06</x:v>
      </x:c>
      <x:c r="H60" s="59" t="n">
        <x:f>IF(L60="Primary",IFERROR(F60/SUMIFS($F$4:$F$146,$B$4:$B$146,B60,$C$4:$C$146,C60,$L$4:$L$146,"Primary"),""),"")</x:f>
        <x:v>0.056071964017991006</x:v>
      </x:c>
      <x:c r="I60" s="16" t="str">
        <x:v>Operating budget</x:v>
      </x:c>
      <x:c r="J60" s="16" t="str">
        <x:v>https://finance.cornell.edu/financial-guide/operating-budget-sources-and-uses/operating-budget-revenue</x:v>
      </x:c>
      <x:c r="K60" s="16" t="str"/>
      <x:c r="L60" s="16" t="str">
        <x:v>Primary</x:v>
      </x:c>
    </x:row>
    <x:row r="61">
      <x:c r="A61" s="16" t="n">
        <x:v>16</x:v>
      </x:c>
      <x:c r="B61" s="16" t="str">
        <x:v>Cornell University</x:v>
      </x:c>
      <x:c r="C61" s="16" t="str">
        <x:v>FY2025</x:v>
      </x:c>
      <x:c r="D61" s="16" t="str">
        <x:v>USD</x:v>
      </x:c>
      <x:c r="E61" s="16" t="str">
        <x:v>Educational activities</x:v>
      </x:c>
      <x:c r="F61" s="48" t="n">
        <x:v>695</x:v>
      </x:c>
      <x:c r="G61" s="58" t="n">
        <x:v>0.1</x:v>
      </x:c>
      <x:c r="H61" s="59" t="n">
        <x:f>IF(L61="Primary",IFERROR(F61/SUMIFS($F$4:$F$146,$B$4:$B$146,B61,$C$4:$C$146,C61,$L$4:$L$146,"Primary"),""),"")</x:f>
        <x:v>0.10419790104947527</x:v>
      </x:c>
      <x:c r="I61" s="16" t="str">
        <x:v>Operating budget</x:v>
      </x:c>
      <x:c r="J61" s="16" t="str">
        <x:v>https://finance.cornell.edu/financial-guide/operating-budget-sources-and-uses/operating-budget-revenue</x:v>
      </x:c>
      <x:c r="K61" s="16" t="str"/>
      <x:c r="L61" s="16" t="str">
        <x:v>Primary</x:v>
      </x:c>
    </x:row>
    <x:row r="62">
      <x:c r="A62" s="16" t="n">
        <x:v>16</x:v>
      </x:c>
      <x:c r="B62" s="16" t="str">
        <x:v>Cornell University</x:v>
      </x:c>
      <x:c r="C62" s="16" t="str">
        <x:v>FY2025</x:v>
      </x:c>
      <x:c r="D62" s="16" t="str">
        <x:v>USD</x:v>
      </x:c>
      <x:c r="E62" s="16" t="str">
        <x:v>Gross tuition</x:v>
      </x:c>
      <x:c r="F62" s="48" t="n">
        <x:v>1587</x:v>
      </x:c>
      <x:c r="G62" s="58" t="n">
        <x:v>0.24</x:v>
      </x:c>
      <x:c r="H62" s="59" t="n">
        <x:f>IF(L62="Primary",IFERROR(F62/SUMIFS($F$4:$F$146,$B$4:$B$146,B62,$C$4:$C$146,C62,$L$4:$L$146,"Primary"),""),"")</x:f>
        <x:v>0.23793103448275862</x:v>
      </x:c>
      <x:c r="I62" s="16" t="str">
        <x:v>Operating budget</x:v>
      </x:c>
      <x:c r="J62" s="16" t="str">
        <x:v>https://finance.cornell.edu/financial-guide/operating-budget-sources-and-uses/operating-budget-revenue</x:v>
      </x:c>
      <x:c r="K62" s="16" t="str"/>
      <x:c r="L62" s="16" t="str">
        <x:v>Primary</x:v>
      </x:c>
    </x:row>
    <x:row r="63">
      <x:c r="A63" s="16" t="n">
        <x:v>16</x:v>
      </x:c>
      <x:c r="B63" s="16" t="str">
        <x:v>Cornell University</x:v>
      </x:c>
      <x:c r="C63" s="16" t="str">
        <x:v>FY2025</x:v>
      </x:c>
      <x:c r="D63" s="16" t="str">
        <x:v>USD</x:v>
      </x:c>
      <x:c r="E63" s="16" t="str">
        <x:v>Investment distribution</x:v>
      </x:c>
      <x:c r="F63" s="48" t="n">
        <x:v>449</x:v>
      </x:c>
      <x:c r="G63" s="58" t="n">
        <x:v>0.07</x:v>
      </x:c>
      <x:c r="H63" s="59" t="n">
        <x:f>IF(L63="Primary",IFERROR(F63/SUMIFS($F$4:$F$146,$B$4:$B$146,B63,$C$4:$C$146,C63,$L$4:$L$146,"Primary"),""),"")</x:f>
        <x:v>0.06731634182908545</x:v>
      </x:c>
      <x:c r="I63" s="16" t="str">
        <x:v>Operating budget</x:v>
      </x:c>
      <x:c r="J63" s="16" t="str">
        <x:v>https://finance.cornell.edu/financial-guide/operating-budget-sources-and-uses/operating-budget-revenue</x:v>
      </x:c>
      <x:c r="K63" s="16" t="str"/>
      <x:c r="L63" s="16" t="str">
        <x:v>Primary</x:v>
      </x:c>
    </x:row>
    <x:row r="64">
      <x:c r="A64" s="16" t="n">
        <x:v>16</x:v>
      </x:c>
      <x:c r="B64" s="16" t="str">
        <x:v>Cornell University</x:v>
      </x:c>
      <x:c r="C64" s="16" t="str">
        <x:v>FY2025</x:v>
      </x:c>
      <x:c r="D64" s="16" t="str">
        <x:v>USD</x:v>
      </x:c>
      <x:c r="E64" s="16" t="str">
        <x:v>Medical Physician Organization</x:v>
      </x:c>
      <x:c r="F64" s="48" t="n">
        <x:v>2106</x:v>
      </x:c>
      <x:c r="G64" s="58" t="n">
        <x:v>0.32</x:v>
      </x:c>
      <x:c r="H64" s="59" t="n">
        <x:f>IF(L64="Primary",IFERROR(F64/SUMIFS($F$4:$F$146,$B$4:$B$146,B64,$C$4:$C$146,C64,$L$4:$L$146,"Primary"),""),"")</x:f>
        <x:v>0.3157421289355322</x:v>
      </x:c>
      <x:c r="I64" s="16" t="str">
        <x:v>Operating budget</x:v>
      </x:c>
      <x:c r="J64" s="16" t="str">
        <x:v>https://finance.cornell.edu/financial-guide/operating-budget-sources-and-uses/operating-budget-revenue</x:v>
      </x:c>
      <x:c r="K64" s="16" t="str"/>
      <x:c r="L64" s="16" t="str">
        <x:v>Primary</x:v>
      </x:c>
    </x:row>
    <x:row r="65">
      <x:c r="A65" s="16" t="n">
        <x:v>16</x:v>
      </x:c>
      <x:c r="B65" s="16" t="str">
        <x:v>Cornell University</x:v>
      </x:c>
      <x:c r="C65" s="16" t="str">
        <x:v>FY2025</x:v>
      </x:c>
      <x:c r="D65" s="16" t="str">
        <x:v>USD</x:v>
      </x:c>
      <x:c r="E65" s="16" t="str">
        <x:v>Sponsored programs</x:v>
      </x:c>
      <x:c r="F65" s="48" t="n">
        <x:v>1059</x:v>
      </x:c>
      <x:c r="G65" s="58" t="n">
        <x:v>0.16</x:v>
      </x:c>
      <x:c r="H65" s="59" t="n">
        <x:f>IF(L65="Primary",IFERROR(F65/SUMIFS($F$4:$F$146,$B$4:$B$146,B65,$C$4:$C$146,C65,$L$4:$L$146,"Primary"),""),"")</x:f>
        <x:v>0.15877061469265366</x:v>
      </x:c>
      <x:c r="I65" s="16" t="str">
        <x:v>Operating budget</x:v>
      </x:c>
      <x:c r="J65" s="16" t="str">
        <x:v>https://finance.cornell.edu/financial-guide/operating-budget-sources-and-uses/operating-budget-revenue</x:v>
      </x:c>
      <x:c r="K65" s="16" t="str"/>
      <x:c r="L65" s="16" t="str">
        <x:v>Primary</x:v>
      </x:c>
    </x:row>
    <x:row r="66">
      <x:c r="A66" s="16" t="n">
        <x:v>16</x:v>
      </x:c>
      <x:c r="B66" s="16" t="str">
        <x:v>Cornell University</x:v>
      </x:c>
      <x:c r="C66" s="16" t="str">
        <x:v>FY2025</x:v>
      </x:c>
      <x:c r="D66" s="16" t="str">
        <x:v>USD</x:v>
      </x:c>
      <x:c r="E66" s="16" t="str">
        <x:v>State/federal appropriations</x:v>
      </x:c>
      <x:c r="F66" s="48" t="n">
        <x:v>159</x:v>
      </x:c>
      <x:c r="G66" s="58" t="n">
        <x:v>0.02</x:v>
      </x:c>
      <x:c r="H66" s="59" t="n">
        <x:f>IF(L66="Primary",IFERROR(F66/SUMIFS($F$4:$F$146,$B$4:$B$146,B66,$C$4:$C$146,C66,$L$4:$L$146,"Primary"),""),"")</x:f>
        <x:v>0.02383808095952024</x:v>
      </x:c>
      <x:c r="I66" s="16" t="str">
        <x:v>Operating budget</x:v>
      </x:c>
      <x:c r="J66" s="16" t="str">
        <x:v>https://finance.cornell.edu/financial-guide/operating-budget-sources-and-uses/operating-budget-revenue</x:v>
      </x:c>
      <x:c r="K66" s="16" t="str"/>
      <x:c r="L66" s="16" t="str">
        <x:v>Primary</x:v>
      </x:c>
    </x:row>
    <x:row r="67">
      <x:c r="A67" s="16" t="n">
        <x:v>19</x:v>
      </x:c>
      <x:c r="B67" s="16" t="str">
        <x:v>The University of New South Wales (UNSW Sydney)</x:v>
      </x:c>
      <x:c r="C67" s="16" t="str">
        <x:v>FY2024</x:v>
      </x:c>
      <x:c r="D67" s="16" t="str">
        <x:v>AUD</x:v>
      </x:c>
      <x:c r="E67" s="16" t="str">
        <x:v>Australian Government financial assistance</x:v>
      </x:c>
      <x:c r="F67" s="48" t="n">
        <x:v>1258.15</x:v>
      </x:c>
      <x:c r="G67" s="58"/>
      <x:c r="H67" s="59" t="n">
        <x:f>IF(L67="Primary",IFERROR(F67/SUMIFS($F$4:$F$146,$B$4:$B$146,B67,$C$4:$C$146,C67,$L$4:$L$146,"Primary"),""),"")</x:f>
        <x:v>0.3829338979058022</x:v>
      </x:c>
      <x:c r="I67" s="16" t="str">
        <x:v>Official standardized</x:v>
      </x:c>
      <x:c r="J67" s="16" t="str">
        <x:v>https://www.education.gov.au/download/19832/finance-2024-financial-reports-higher-education-providers/43010/2024-higher-education-providers-finance-tables/csv</x:v>
      </x:c>
      <x:c r="K67" s="16" t="str"/>
      <x:c r="L67" s="16" t="str">
        <x:v>Primary</x:v>
      </x:c>
    </x:row>
    <x:row r="68">
      <x:c r="A68" s="16" t="n">
        <x:v>19</x:v>
      </x:c>
      <x:c r="B68" s="16" t="str">
        <x:v>The University of New South Wales (UNSW Sydney)</x:v>
      </x:c>
      <x:c r="C68" s="16" t="str">
        <x:v>FY2024</x:v>
      </x:c>
      <x:c r="D68" s="16" t="str">
        <x:v>AUD</x:v>
      </x:c>
      <x:c r="E68" s="16" t="str">
        <x:v>Consultancy &amp; contracts</x:v>
      </x:c>
      <x:c r="F68" s="48" t="n">
        <x:v>170.875</x:v>
      </x:c>
      <x:c r="G68" s="58"/>
      <x:c r="H68" s="59" t="n">
        <x:f>IF(L68="Primary",IFERROR(F68/SUMIFS($F$4:$F$146,$B$4:$B$146,B68,$C$4:$C$146,C68,$L$4:$L$146,"Primary"),""),"")</x:f>
        <x:v>0.052007971867149345</x:v>
      </x:c>
      <x:c r="I68" s="16" t="str">
        <x:v>Official standardized</x:v>
      </x:c>
      <x:c r="J68" s="16" t="str">
        <x:v>https://www.education.gov.au/download/19832/finance-2024-financial-reports-higher-education-providers/43010/2024-higher-education-providers-finance-tables/csv</x:v>
      </x:c>
      <x:c r="K68" s="16" t="str"/>
      <x:c r="L68" s="16" t="str">
        <x:v>Primary</x:v>
      </x:c>
    </x:row>
    <x:row r="69">
      <x:c r="A69" s="16" t="n">
        <x:v>19</x:v>
      </x:c>
      <x:c r="B69" s="16" t="str">
        <x:v>The University of New South Wales (UNSW Sydney)</x:v>
      </x:c>
      <x:c r="C69" s="16" t="str">
        <x:v>FY2024</x:v>
      </x:c>
      <x:c r="D69" s="16" t="str">
        <x:v>AUD</x:v>
      </x:c>
      <x:c r="E69" s="16" t="str">
        <x:v>Fees &amp; charges</x:v>
      </x:c>
      <x:c r="F69" s="48" t="n">
        <x:v>1547.633</x:v>
      </x:c>
      <x:c r="G69" s="58"/>
      <x:c r="H69" s="59" t="n">
        <x:f>IF(L69="Primary",IFERROR(F69/SUMIFS($F$4:$F$146,$B$4:$B$146,B69,$C$4:$C$146,C69,$L$4:$L$146,"Primary"),""),"")</x:f>
        <x:v>0.4710417177742323</x:v>
      </x:c>
      <x:c r="I69" s="16" t="str">
        <x:v>Official standardized</x:v>
      </x:c>
      <x:c r="J69" s="16" t="str">
        <x:v>https://www.education.gov.au/download/19832/finance-2024-financial-reports-higher-education-providers/43010/2024-higher-education-providers-finance-tables/csv</x:v>
      </x:c>
      <x:c r="K69" s="16" t="str"/>
      <x:c r="L69" s="16" t="str">
        <x:v>Primary</x:v>
      </x:c>
    </x:row>
    <x:row r="70">
      <x:c r="A70" s="16" t="n">
        <x:v>19</x:v>
      </x:c>
      <x:c r="B70" s="16" t="str">
        <x:v>The University of New South Wales (UNSW Sydney)</x:v>
      </x:c>
      <x:c r="C70" s="16" t="str">
        <x:v>FY2024</x:v>
      </x:c>
      <x:c r="D70" s="16" t="str">
        <x:v>AUD</x:v>
      </x:c>
      <x:c r="E70" s="16" t="str">
        <x:v>International students (subset of fees)</x:v>
      </x:c>
      <x:c r="F70" s="48" t="n">
        <x:v>1313.166</x:v>
      </x:c>
      <x:c r="G70" s="58"/>
      <x:c r="H70" s="59" t="str">
        <x:f>IF(L70="Primary",IFERROR(F70/SUMIFS($F$4:$F$146,$B$4:$B$146,B70,$C$4:$C$146,C70,$L$4:$L$146,"Primary"),""),"")</x:f>
      </x:c>
      <x:c r="I70" s="16" t="str">
        <x:v>Supplemental subset - do not sum</x:v>
      </x:c>
      <x:c r="J70" s="16" t="str">
        <x:v>https://www.education.gov.au/download/19832/finance-2024-financial-reports-higher-education-providers/43010/2024-higher-education-providers-finance-tables/csv</x:v>
      </x:c>
      <x:c r="K70" s="16" t="str">
        <x:v>Subset of Fees &amp; Charges; used for dependency ratio.</x:v>
      </x:c>
      <x:c r="L70" s="16" t="str">
        <x:v>Supplemental</x:v>
      </x:c>
    </x:row>
    <x:row r="71">
      <x:c r="A71" s="16" t="n">
        <x:v>19</x:v>
      </x:c>
      <x:c r="B71" s="16" t="str">
        <x:v>The University of New South Wales (UNSW Sydney)</x:v>
      </x:c>
      <x:c r="C71" s="16" t="str">
        <x:v>FY2024</x:v>
      </x:c>
      <x:c r="D71" s="16" t="str">
        <x:v>AUD</x:v>
      </x:c>
      <x:c r="E71" s="16" t="str">
        <x:v>Investment income</x:v>
      </x:c>
      <x:c r="F71" s="48" t="n">
        <x:v>118.621</x:v>
      </x:c>
      <x:c r="G71" s="58"/>
      <x:c r="H71" s="59" t="n">
        <x:f>IF(L71="Primary",IFERROR(F71/SUMIFS($F$4:$F$146,$B$4:$B$146,B71,$C$4:$C$146,C71,$L$4:$L$146,"Primary"),""),"")</x:f>
        <x:v>0.03610380471603875</x:v>
      </x:c>
      <x:c r="I71" s="16" t="str">
        <x:v>Official standardized</x:v>
      </x:c>
      <x:c r="J71" s="16" t="str">
        <x:v>https://www.education.gov.au/download/19832/finance-2024-financial-reports-higher-education-providers/43010/2024-higher-education-providers-finance-tables/csv</x:v>
      </x:c>
      <x:c r="K71" s="16" t="str"/>
      <x:c r="L71" s="16" t="str">
        <x:v>Primary</x:v>
      </x:c>
    </x:row>
    <x:row r="72">
      <x:c r="A72" s="16" t="n">
        <x:v>19</x:v>
      </x:c>
      <x:c r="B72" s="16" t="str">
        <x:v>The University of New South Wales (UNSW Sydney)</x:v>
      </x:c>
      <x:c r="C72" s="16" t="str">
        <x:v>FY2024</x:v>
      </x:c>
      <x:c r="D72" s="16" t="str">
        <x:v>AUD</x:v>
      </x:c>
      <x:c r="E72" s="16" t="str">
        <x:v>Other income</x:v>
      </x:c>
      <x:c r="F72" s="48" t="n">
        <x:v>96.307</x:v>
      </x:c>
      <x:c r="G72" s="58"/>
      <x:c r="H72" s="59" t="n">
        <x:f>IF(L72="Primary",IFERROR(F72/SUMIFS($F$4:$F$146,$B$4:$B$146,B72,$C$4:$C$146,C72,$L$4:$L$146,"Primary"),""),"")</x:f>
        <x:v>0.029312256015271702</x:v>
      </x:c>
      <x:c r="I72" s="16" t="str">
        <x:v>Official standardized</x:v>
      </x:c>
      <x:c r="J72" s="16" t="str">
        <x:v>https://www.education.gov.au/download/19832/finance-2024-financial-reports-higher-education-providers/43010/2024-higher-education-providers-finance-tables/csv</x:v>
      </x:c>
      <x:c r="K72" s="16" t="str"/>
      <x:c r="L72" s="16" t="str">
        <x:v>Primary</x:v>
      </x:c>
    </x:row>
    <x:row r="73">
      <x:c r="A73" s="16" t="n">
        <x:v>19</x:v>
      </x:c>
      <x:c r="B73" s="16" t="str">
        <x:v>The University of New South Wales (UNSW Sydney)</x:v>
      </x:c>
      <x:c r="C73" s="16" t="str">
        <x:v>FY2024</x:v>
      </x:c>
      <x:c r="D73" s="16" t="str">
        <x:v>AUD</x:v>
      </x:c>
      <x:c r="E73" s="16" t="str">
        <x:v>Royalties/trademarks/licenses</x:v>
      </x:c>
      <x:c r="F73" s="48" t="n">
        <x:v>0.703</x:v>
      </x:c>
      <x:c r="G73" s="58"/>
      <x:c r="H73" s="59" t="n">
        <x:f>IF(L73="Primary",IFERROR(F73/SUMIFS($F$4:$F$146,$B$4:$B$146,B73,$C$4:$C$146,C73,$L$4:$L$146,"Primary"),""),"")</x:f>
        <x:v>0.00021396695960559464</x:v>
      </x:c>
      <x:c r="I73" s="16" t="str">
        <x:v>Official standardized</x:v>
      </x:c>
      <x:c r="J73" s="16" t="str">
        <x:v>https://www.education.gov.au/download/19832/finance-2024-financial-reports-higher-education-providers/43010/2024-higher-education-providers-finance-tables/csv</x:v>
      </x:c>
      <x:c r="K73" s="16" t="str"/>
      <x:c r="L73" s="16" t="str">
        <x:v>Primary</x:v>
      </x:c>
    </x:row>
    <x:row r="74">
      <x:c r="A74" s="16" t="n">
        <x:v>19</x:v>
      </x:c>
      <x:c r="B74" s="16" t="str">
        <x:v>The University of New South Wales (UNSW Sydney)</x:v>
      </x:c>
      <x:c r="C74" s="16" t="str">
        <x:v>FY2024</x:v>
      </x:c>
      <x:c r="D74" s="16" t="str">
        <x:v>AUD</x:v>
      </x:c>
      <x:c r="E74" s="16" t="str">
        <x:v>Share of net result</x:v>
      </x:c>
      <x:c r="F74" s="48" t="n">
        <x:v>0</x:v>
      </x:c>
      <x:c r="G74" s="58"/>
      <x:c r="H74" s="59" t="n">
        <x:f>IF(L74="Primary",IFERROR(F74/SUMIFS($F$4:$F$146,$B$4:$B$146,B74,$C$4:$C$146,C74,$L$4:$L$146,"Primary"),""),"")</x:f>
        <x:v>0</x:v>
      </x:c>
      <x:c r="I74" s="16" t="str">
        <x:v>Official standardized</x:v>
      </x:c>
      <x:c r="J74" s="16" t="str">
        <x:v>https://www.education.gov.au/download/19832/finance-2024-financial-reports-higher-education-providers/43010/2024-higher-education-providers-finance-tables/csv</x:v>
      </x:c>
      <x:c r="K74" s="16" t="str"/>
      <x:c r="L74" s="16" t="str">
        <x:v>Primary</x:v>
      </x:c>
    </x:row>
    <x:row r="75">
      <x:c r="A75" s="16" t="n">
        <x:v>19</x:v>
      </x:c>
      <x:c r="B75" s="16" t="str">
        <x:v>The University of New South Wales (UNSW Sydney)</x:v>
      </x:c>
      <x:c r="C75" s="16" t="str">
        <x:v>FY2024</x:v>
      </x:c>
      <x:c r="D75" s="16" t="str">
        <x:v>AUD</x:v>
      </x:c>
      <x:c r="E75" s="16" t="str">
        <x:v>State &amp; local government</x:v>
      </x:c>
      <x:c r="F75" s="48" t="n">
        <x:v>51.549</x:v>
      </x:c>
      <x:c r="G75" s="58"/>
      <x:c r="H75" s="59" t="n">
        <x:f>IF(L75="Primary",IFERROR(F75/SUMIFS($F$4:$F$146,$B$4:$B$146,B75,$C$4:$C$146,C75,$L$4:$L$146,"Primary"),""),"")</x:f>
        <x:v>0.01568959146615761</x:v>
      </x:c>
      <x:c r="I75" s="16" t="str">
        <x:v>Official standardized</x:v>
      </x:c>
      <x:c r="J75" s="16" t="str">
        <x:v>https://www.education.gov.au/download/19832/finance-2024-financial-reports-higher-education-providers/43010/2024-higher-education-providers-finance-tables/csv</x:v>
      </x:c>
      <x:c r="K75" s="16" t="str"/>
      <x:c r="L75" s="16" t="str">
        <x:v>Primary</x:v>
      </x:c>
    </x:row>
    <x:row r="76">
      <x:c r="A76" s="16" t="n">
        <x:v>19</x:v>
      </x:c>
      <x:c r="B76" s="16" t="str">
        <x:v>The University of New South Wales (UNSW Sydney)</x:v>
      </x:c>
      <x:c r="C76" s="16" t="str">
        <x:v>FY2024</x:v>
      </x:c>
      <x:c r="D76" s="16" t="str">
        <x:v>AUD</x:v>
      </x:c>
      <x:c r="E76" s="16" t="str">
        <x:v>Student contributions</x:v>
      </x:c>
      <x:c r="F76" s="48" t="n">
        <x:v>41.716</x:v>
      </x:c>
      <x:c r="G76" s="58"/>
      <x:c r="H76" s="59" t="n">
        <x:f>IF(L76="Primary",IFERROR(F76/SUMIFS($F$4:$F$146,$B$4:$B$146,B76,$C$4:$C$146,C76,$L$4:$L$146,"Primary"),""),"")</x:f>
        <x:v>0.012696793295742513</x:v>
      </x:c>
      <x:c r="I76" s="16" t="str">
        <x:v>Official standardized</x:v>
      </x:c>
      <x:c r="J76" s="16" t="str">
        <x:v>https://www.education.gov.au/download/19832/finance-2024-financial-reports-higher-education-providers/43010/2024-higher-education-providers-finance-tables/csv</x:v>
      </x:c>
      <x:c r="K76" s="16" t="str"/>
      <x:c r="L76" s="16" t="str">
        <x:v>Primary</x:v>
      </x:c>
    </x:row>
    <x:row r="77">
      <x:c r="A77" s="16" t="n">
        <x:v>22</x:v>
      </x:c>
      <x:c r="B77" s="16" t="str">
        <x:v>The University of Melbourne</x:v>
      </x:c>
      <x:c r="C77" s="16" t="str">
        <x:v>FY2024</x:v>
      </x:c>
      <x:c r="D77" s="16" t="str">
        <x:v>AUD</x:v>
      </x:c>
      <x:c r="E77" s="16" t="str">
        <x:v>Australian Government financial assistance</x:v>
      </x:c>
      <x:c r="F77" s="48" t="n">
        <x:v>1245.405</x:v>
      </x:c>
      <x:c r="G77" s="58"/>
      <x:c r="H77" s="59" t="n">
        <x:f>IF(L77="Primary",IFERROR(F77/SUMIFS($F$4:$F$146,$B$4:$B$146,B77,$C$4:$C$146,C77,$L$4:$L$146,"Primary"),""),"")</x:f>
        <x:v>0.3366181445479107</x:v>
      </x:c>
      <x:c r="I77" s="16" t="str">
        <x:v>Official standardized</x:v>
      </x:c>
      <x:c r="J77" s="16" t="str">
        <x:v>https://www.education.gov.au/download/19832/finance-2024-financial-reports-higher-education-providers/43010/2024-higher-education-providers-finance-tables/csv</x:v>
      </x:c>
      <x:c r="K77" s="16" t="str"/>
      <x:c r="L77" s="16" t="str">
        <x:v>Primary</x:v>
      </x:c>
    </x:row>
    <x:row r="78">
      <x:c r="A78" s="16" t="n">
        <x:v>22</x:v>
      </x:c>
      <x:c r="B78" s="16" t="str">
        <x:v>The University of Melbourne</x:v>
      </x:c>
      <x:c r="C78" s="16" t="str">
        <x:v>FY2024</x:v>
      </x:c>
      <x:c r="D78" s="16" t="str">
        <x:v>AUD</x:v>
      </x:c>
      <x:c r="E78" s="16" t="str">
        <x:v>Consultancy &amp; contracts</x:v>
      </x:c>
      <x:c r="F78" s="48" t="n">
        <x:v>183.924</x:v>
      </x:c>
      <x:c r="G78" s="58"/>
      <x:c r="H78" s="59" t="n">
        <x:f>IF(L78="Primary",IFERROR(F78/SUMIFS($F$4:$F$146,$B$4:$B$146,B78,$C$4:$C$146,C78,$L$4:$L$146,"Primary"),""),"")</x:f>
        <x:v>0.04971246752488543</x:v>
      </x:c>
      <x:c r="I78" s="16" t="str">
        <x:v>Official standardized</x:v>
      </x:c>
      <x:c r="J78" s="16" t="str">
        <x:v>https://www.education.gov.au/download/19832/finance-2024-financial-reports-higher-education-providers/43010/2024-higher-education-providers-finance-tables/csv</x:v>
      </x:c>
      <x:c r="K78" s="16" t="str"/>
      <x:c r="L78" s="16" t="str">
        <x:v>Primary</x:v>
      </x:c>
    </x:row>
    <x:row r="79">
      <x:c r="A79" s="16" t="n">
        <x:v>22</x:v>
      </x:c>
      <x:c r="B79" s="16" t="str">
        <x:v>The University of Melbourne</x:v>
      </x:c>
      <x:c r="C79" s="16" t="str">
        <x:v>FY2024</x:v>
      </x:c>
      <x:c r="D79" s="16" t="str">
        <x:v>AUD</x:v>
      </x:c>
      <x:c r="E79" s="16" t="str">
        <x:v>Fees &amp; charges</x:v>
      </x:c>
      <x:c r="F79" s="48" t="n">
        <x:v>1361.529</x:v>
      </x:c>
      <x:c r="G79" s="58"/>
      <x:c r="H79" s="59" t="n">
        <x:f>IF(L79="Primary",IFERROR(F79/SUMIFS($F$4:$F$146,$B$4:$B$146,B79,$C$4:$C$146,C79,$L$4:$L$146,"Primary"),""),"")</x:f>
        <x:v>0.36800507925387516</x:v>
      </x:c>
      <x:c r="I79" s="16" t="str">
        <x:v>Official standardized</x:v>
      </x:c>
      <x:c r="J79" s="16" t="str">
        <x:v>https://www.education.gov.au/download/19832/finance-2024-financial-reports-higher-education-providers/43010/2024-higher-education-providers-finance-tables/csv</x:v>
      </x:c>
      <x:c r="K79" s="16" t="str"/>
      <x:c r="L79" s="16" t="str">
        <x:v>Primary</x:v>
      </x:c>
    </x:row>
    <x:row r="80">
      <x:c r="A80" s="16" t="n">
        <x:v>22</x:v>
      </x:c>
      <x:c r="B80" s="16" t="str">
        <x:v>The University of Melbourne</x:v>
      </x:c>
      <x:c r="C80" s="16" t="str">
        <x:v>FY2024</x:v>
      </x:c>
      <x:c r="D80" s="16" t="str">
        <x:v>AUD</x:v>
      </x:c>
      <x:c r="E80" s="16" t="str">
        <x:v>International students (subset of fees)</x:v>
      </x:c>
      <x:c r="F80" s="48" t="n">
        <x:v>1175.8</x:v>
      </x:c>
      <x:c r="G80" s="58"/>
      <x:c r="H80" s="59" t="str">
        <x:f>IF(L80="Primary",IFERROR(F80/SUMIFS($F$4:$F$146,$B$4:$B$146,B80,$C$4:$C$146,C80,$L$4:$L$146,"Primary"),""),"")</x:f>
      </x:c>
      <x:c r="I80" s="16" t="str">
        <x:v>Supplemental subset - do not sum</x:v>
      </x:c>
      <x:c r="J80" s="16" t="str">
        <x:v>https://www.education.gov.au/download/19832/finance-2024-financial-reports-higher-education-providers/43010/2024-higher-education-providers-finance-tables/csv</x:v>
      </x:c>
      <x:c r="K80" s="16" t="str">
        <x:v>Subset of Fees &amp; Charges; used for dependency ratio.</x:v>
      </x:c>
      <x:c r="L80" s="16" t="str">
        <x:v>Supplemental</x:v>
      </x:c>
    </x:row>
    <x:row r="81">
      <x:c r="A81" s="16" t="n">
        <x:v>22</x:v>
      </x:c>
      <x:c r="B81" s="16" t="str">
        <x:v>The University of Melbourne</x:v>
      </x:c>
      <x:c r="C81" s="16" t="str">
        <x:v>FY2024</x:v>
      </x:c>
      <x:c r="D81" s="16" t="str">
        <x:v>AUD</x:v>
      </x:c>
      <x:c r="E81" s="16" t="str">
        <x:v>Investment income</x:v>
      </x:c>
      <x:c r="F81" s="48" t="n">
        <x:v>476.582</x:v>
      </x:c>
      <x:c r="G81" s="58"/>
      <x:c r="H81" s="59" t="n">
        <x:f>IF(L81="Primary",IFERROR(F81/SUMIFS($F$4:$F$146,$B$4:$B$146,B81,$C$4:$C$146,C81,$L$4:$L$146,"Primary"),""),"")</x:f>
        <x:v>0.1288144407360918</x:v>
      </x:c>
      <x:c r="I81" s="16" t="str">
        <x:v>Official standardized</x:v>
      </x:c>
      <x:c r="J81" s="16" t="str">
        <x:v>https://www.education.gov.au/download/19832/finance-2024-financial-reports-higher-education-providers/43010/2024-higher-education-providers-finance-tables/csv</x:v>
      </x:c>
      <x:c r="K81" s="16" t="str"/>
      <x:c r="L81" s="16" t="str">
        <x:v>Primary</x:v>
      </x:c>
    </x:row>
    <x:row r="82">
      <x:c r="A82" s="16" t="n">
        <x:v>22</x:v>
      </x:c>
      <x:c r="B82" s="16" t="str">
        <x:v>The University of Melbourne</x:v>
      </x:c>
      <x:c r="C82" s="16" t="str">
        <x:v>FY2024</x:v>
      </x:c>
      <x:c r="D82" s="16" t="str">
        <x:v>AUD</x:v>
      </x:c>
      <x:c r="E82" s="16" t="str">
        <x:v>Other income</x:v>
      </x:c>
      <x:c r="F82" s="48" t="n">
        <x:v>339.377</x:v>
      </x:c>
      <x:c r="G82" s="58"/>
      <x:c r="H82" s="59" t="n">
        <x:f>IF(L82="Primary",IFERROR(F82/SUMIFS($F$4:$F$146,$B$4:$B$146,B82,$C$4:$C$146,C82,$L$4:$L$146,"Primary"),""),"")</x:f>
        <x:v>0.0917295627062974</x:v>
      </x:c>
      <x:c r="I82" s="16" t="str">
        <x:v>Official standardized</x:v>
      </x:c>
      <x:c r="J82" s="16" t="str">
        <x:v>https://www.education.gov.au/download/19832/finance-2024-financial-reports-higher-education-providers/43010/2024-higher-education-providers-finance-tables/csv</x:v>
      </x:c>
      <x:c r="K82" s="16" t="str"/>
      <x:c r="L82" s="16" t="str">
        <x:v>Primary</x:v>
      </x:c>
    </x:row>
    <x:row r="83">
      <x:c r="A83" s="16" t="n">
        <x:v>22</x:v>
      </x:c>
      <x:c r="B83" s="16" t="str">
        <x:v>The University of Melbourne</x:v>
      </x:c>
      <x:c r="C83" s="16" t="str">
        <x:v>FY2024</x:v>
      </x:c>
      <x:c r="D83" s="16" t="str">
        <x:v>AUD</x:v>
      </x:c>
      <x:c r="E83" s="16" t="str">
        <x:v>Royalties/trademarks/licenses</x:v>
      </x:c>
      <x:c r="F83" s="48" t="n">
        <x:v>3.56</x:v>
      </x:c>
      <x:c r="G83" s="58"/>
      <x:c r="H83" s="59" t="n">
        <x:f>IF(L83="Primary",IFERROR(F83/SUMIFS($F$4:$F$146,$B$4:$B$146,B83,$C$4:$C$146,C83,$L$4:$L$146,"Primary"),""),"")</x:f>
        <x:v>0.0009622256170406914</x:v>
      </x:c>
      <x:c r="I83" s="16" t="str">
        <x:v>Official standardized</x:v>
      </x:c>
      <x:c r="J83" s="16" t="str">
        <x:v>https://www.education.gov.au/download/19832/finance-2024-financial-reports-higher-education-providers/43010/2024-higher-education-providers-finance-tables/csv</x:v>
      </x:c>
      <x:c r="K83" s="16" t="str"/>
      <x:c r="L83" s="16" t="str">
        <x:v>Primary</x:v>
      </x:c>
    </x:row>
    <x:row r="84">
      <x:c r="A84" s="16" t="n">
        <x:v>22</x:v>
      </x:c>
      <x:c r="B84" s="16" t="str">
        <x:v>The University of Melbourne</x:v>
      </x:c>
      <x:c r="C84" s="16" t="str">
        <x:v>FY2024</x:v>
      </x:c>
      <x:c r="D84" s="16" t="str">
        <x:v>AUD</x:v>
      </x:c>
      <x:c r="E84" s="16" t="str">
        <x:v>Share of net result</x:v>
      </x:c>
      <x:c r="F84" s="48" t="n">
        <x:v>-1.456</x:v>
      </x:c>
      <x:c r="G84" s="58"/>
      <x:c r="H84" s="59" t="n">
        <x:f>IF(L84="Primary",IFERROR(F84/SUMIFS($F$4:$F$146,$B$4:$B$146,B84,$C$4:$C$146,C84,$L$4:$L$146,"Primary"),""),"")</x:f>
        <x:v>-0.0003935394658458558</x:v>
      </x:c>
      <x:c r="I84" s="16" t="str">
        <x:v>Official standardized</x:v>
      </x:c>
      <x:c r="J84" s="16" t="str">
        <x:v>https://www.education.gov.au/download/19832/finance-2024-financial-reports-higher-education-providers/43010/2024-higher-education-providers-finance-tables/csv</x:v>
      </x:c>
      <x:c r="K84" s="16" t="str"/>
      <x:c r="L84" s="16" t="str">
        <x:v>Primary</x:v>
      </x:c>
    </x:row>
    <x:row r="85">
      <x:c r="A85" s="16" t="n">
        <x:v>22</x:v>
      </x:c>
      <x:c r="B85" s="16" t="str">
        <x:v>The University of Melbourne</x:v>
      </x:c>
      <x:c r="C85" s="16" t="str">
        <x:v>FY2024</x:v>
      </x:c>
      <x:c r="D85" s="16" t="str">
        <x:v>AUD</x:v>
      </x:c>
      <x:c r="E85" s="16" t="str">
        <x:v>State &amp; local government</x:v>
      </x:c>
      <x:c r="F85" s="48" t="n">
        <x:v>51.081</x:v>
      </x:c>
      <x:c r="G85" s="58"/>
      <x:c r="H85" s="59" t="n">
        <x:f>IF(L85="Primary",IFERROR(F85/SUMIFS($F$4:$F$146,$B$4:$B$146,B85,$C$4:$C$146,C85,$L$4:$L$146,"Primary"),""),"")</x:f>
        <x:v>0.01380658616406055</x:v>
      </x:c>
      <x:c r="I85" s="16" t="str">
        <x:v>Official standardized</x:v>
      </x:c>
      <x:c r="J85" s="16" t="str">
        <x:v>https://www.education.gov.au/download/19832/finance-2024-financial-reports-higher-education-providers/43010/2024-higher-education-providers-finance-tables/csv</x:v>
      </x:c>
      <x:c r="K85" s="16" t="str"/>
      <x:c r="L85" s="16" t="str">
        <x:v>Primary</x:v>
      </x:c>
    </x:row>
    <x:row r="86">
      <x:c r="A86" s="16" t="n">
        <x:v>22</x:v>
      </x:c>
      <x:c r="B86" s="16" t="str">
        <x:v>The University of Melbourne</x:v>
      </x:c>
      <x:c r="C86" s="16" t="str">
        <x:v>FY2024</x:v>
      </x:c>
      <x:c r="D86" s="16" t="str">
        <x:v>AUD</x:v>
      </x:c>
      <x:c r="E86" s="16" t="str">
        <x:v>Student contributions</x:v>
      </x:c>
      <x:c r="F86" s="48" t="n">
        <x:v>39.754</x:v>
      </x:c>
      <x:c r="G86" s="58"/>
      <x:c r="H86" s="59" t="n">
        <x:f>IF(L86="Primary",IFERROR(F86/SUMIFS($F$4:$F$146,$B$4:$B$146,B86,$C$4:$C$146,C86,$L$4:$L$146,"Primary"),""),"")</x:f>
        <x:v>0.010745032915684169</x:v>
      </x:c>
      <x:c r="I86" s="16" t="str">
        <x:v>Official standardized</x:v>
      </x:c>
      <x:c r="J86" s="16" t="str">
        <x:v>https://www.education.gov.au/download/19832/finance-2024-financial-reports-higher-education-providers/43010/2024-higher-education-providers-finance-tables/csv</x:v>
      </x:c>
      <x:c r="K86" s="16" t="str"/>
      <x:c r="L86" s="16" t="str">
        <x:v>Primary</x:v>
      </x:c>
    </x:row>
    <x:row r="87">
      <x:c r="A87" s="16" t="n">
        <x:v>28</x:v>
      </x:c>
      <x:c r="B87" s="16" t="str">
        <x:v>The University of Sydney</x:v>
      </x:c>
      <x:c r="C87" s="16" t="str">
        <x:v>FY2024</x:v>
      </x:c>
      <x:c r="D87" s="16" t="str">
        <x:v>AUD</x:v>
      </x:c>
      <x:c r="E87" s="16" t="str">
        <x:v>Australian Government financial assistance</x:v>
      </x:c>
      <x:c r="F87" s="48" t="n">
        <x:v>1103.101</x:v>
      </x:c>
      <x:c r="G87" s="58"/>
      <x:c r="H87" s="59" t="n">
        <x:f>IF(L87="Primary",IFERROR(F87/SUMIFS($F$4:$F$146,$B$4:$B$146,B87,$C$4:$C$146,C87,$L$4:$L$146,"Primary"),""),"")</x:f>
        <x:v>0.2839163380565171</x:v>
      </x:c>
      <x:c r="I87" s="16" t="str">
        <x:v>Official standardized</x:v>
      </x:c>
      <x:c r="J87" s="16" t="str">
        <x:v>https://www.education.gov.au/download/19832/finance-2024-financial-reports-higher-education-providers/43010/2024-higher-education-providers-finance-tables/csv</x:v>
      </x:c>
      <x:c r="K87" s="16" t="str"/>
      <x:c r="L87" s="16" t="str">
        <x:v>Primary</x:v>
      </x:c>
    </x:row>
    <x:row r="88">
      <x:c r="A88" s="16" t="n">
        <x:v>28</x:v>
      </x:c>
      <x:c r="B88" s="16" t="str">
        <x:v>The University of Sydney</x:v>
      </x:c>
      <x:c r="C88" s="16" t="str">
        <x:v>FY2024</x:v>
      </x:c>
      <x:c r="D88" s="16" t="str">
        <x:v>AUD</x:v>
      </x:c>
      <x:c r="E88" s="16" t="str">
        <x:v>Consultancy &amp; contracts</x:v>
      </x:c>
      <x:c r="F88" s="48" t="n">
        <x:v>169.801</x:v>
      </x:c>
      <x:c r="G88" s="58"/>
      <x:c r="H88" s="59" t="n">
        <x:f>IF(L88="Primary",IFERROR(F88/SUMIFS($F$4:$F$146,$B$4:$B$146,B88,$C$4:$C$146,C88,$L$4:$L$146,"Primary"),""),"")</x:f>
        <x:v>0.0437034125781181</x:v>
      </x:c>
      <x:c r="I88" s="16" t="str">
        <x:v>Official standardized</x:v>
      </x:c>
      <x:c r="J88" s="16" t="str">
        <x:v>https://www.education.gov.au/download/19832/finance-2024-financial-reports-higher-education-providers/43010/2024-higher-education-providers-finance-tables/csv</x:v>
      </x:c>
      <x:c r="K88" s="16" t="str"/>
      <x:c r="L88" s="16" t="str">
        <x:v>Primary</x:v>
      </x:c>
    </x:row>
    <x:row r="89">
      <x:c r="A89" s="16" t="n">
        <x:v>28</x:v>
      </x:c>
      <x:c r="B89" s="16" t="str">
        <x:v>The University of Sydney</x:v>
      </x:c>
      <x:c r="C89" s="16" t="str">
        <x:v>FY2024</x:v>
      </x:c>
      <x:c r="D89" s="16" t="str">
        <x:v>AUD</x:v>
      </x:c>
      <x:c r="E89" s="16" t="str">
        <x:v>Fees &amp; charges</x:v>
      </x:c>
      <x:c r="F89" s="48" t="n">
        <x:v>1776.013</x:v>
      </x:c>
      <x:c r="G89" s="58"/>
      <x:c r="H89" s="59" t="n">
        <x:f>IF(L89="Primary",IFERROR(F89/SUMIFS($F$4:$F$146,$B$4:$B$146,B89,$C$4:$C$146,C89,$L$4:$L$146,"Primary"),""),"")</x:f>
        <x:v>0.45711055225293884</x:v>
      </x:c>
      <x:c r="I89" s="16" t="str">
        <x:v>Official standardized</x:v>
      </x:c>
      <x:c r="J89" s="16" t="str">
        <x:v>https://www.education.gov.au/download/19832/finance-2024-financial-reports-higher-education-providers/43010/2024-higher-education-providers-finance-tables/csv</x:v>
      </x:c>
      <x:c r="K89" s="16" t="str"/>
      <x:c r="L89" s="16" t="str">
        <x:v>Primary</x:v>
      </x:c>
    </x:row>
    <x:row r="90">
      <x:c r="A90" s="16" t="n">
        <x:v>28</x:v>
      </x:c>
      <x:c r="B90" s="16" t="str">
        <x:v>The University of Sydney</x:v>
      </x:c>
      <x:c r="C90" s="16" t="str">
        <x:v>FY2024</x:v>
      </x:c>
      <x:c r="D90" s="16" t="str">
        <x:v>AUD</x:v>
      </x:c>
      <x:c r="E90" s="16" t="str">
        <x:v>International students (subset of fees)</x:v>
      </x:c>
      <x:c r="F90" s="48" t="n">
        <x:v>1603.048</x:v>
      </x:c>
      <x:c r="G90" s="58"/>
      <x:c r="H90" s="59" t="str">
        <x:f>IF(L90="Primary",IFERROR(F90/SUMIFS($F$4:$F$146,$B$4:$B$146,B90,$C$4:$C$146,C90,$L$4:$L$146,"Primary"),""),"")</x:f>
      </x:c>
      <x:c r="I90" s="16" t="str">
        <x:v>Supplemental subset - do not sum</x:v>
      </x:c>
      <x:c r="J90" s="16" t="str">
        <x:v>https://www.education.gov.au/download/19832/finance-2024-financial-reports-higher-education-providers/43010/2024-higher-education-providers-finance-tables/csv</x:v>
      </x:c>
      <x:c r="K90" s="16" t="str">
        <x:v>Subset of Fees &amp; Charges; used for dependency ratio.</x:v>
      </x:c>
      <x:c r="L90" s="16" t="str">
        <x:v>Supplemental</x:v>
      </x:c>
    </x:row>
    <x:row r="91">
      <x:c r="A91" s="16" t="n">
        <x:v>28</x:v>
      </x:c>
      <x:c r="B91" s="16" t="str">
        <x:v>The University of Sydney</x:v>
      </x:c>
      <x:c r="C91" s="16" t="str">
        <x:v>FY2024</x:v>
      </x:c>
      <x:c r="D91" s="16" t="str">
        <x:v>AUD</x:v>
      </x:c>
      <x:c r="E91" s="16" t="str">
        <x:v>Investment income</x:v>
      </x:c>
      <x:c r="F91" s="48" t="n">
        <x:v>518.339</x:v>
      </x:c>
      <x:c r="G91" s="58"/>
      <x:c r="H91" s="59" t="n">
        <x:f>IF(L91="Primary",IFERROR(F91/SUMIFS($F$4:$F$146,$B$4:$B$146,B91,$C$4:$C$146,C91,$L$4:$L$146,"Primary"),""),"")</x:f>
        <x:v>0.13341018705619614</x:v>
      </x:c>
      <x:c r="I91" s="16" t="str">
        <x:v>Official standardized</x:v>
      </x:c>
      <x:c r="J91" s="16" t="str">
        <x:v>https://www.education.gov.au/download/19832/finance-2024-financial-reports-higher-education-providers/43010/2024-higher-education-providers-finance-tables/csv</x:v>
      </x:c>
      <x:c r="K91" s="16" t="str"/>
      <x:c r="L91" s="16" t="str">
        <x:v>Primary</x:v>
      </x:c>
    </x:row>
    <x:row r="92">
      <x:c r="A92" s="16" t="n">
        <x:v>28</x:v>
      </x:c>
      <x:c r="B92" s="16" t="str">
        <x:v>The University of Sydney</x:v>
      </x:c>
      <x:c r="C92" s="16" t="str">
        <x:v>FY2024</x:v>
      </x:c>
      <x:c r="D92" s="16" t="str">
        <x:v>AUD</x:v>
      </x:c>
      <x:c r="E92" s="16" t="str">
        <x:v>Other income</x:v>
      </x:c>
      <x:c r="F92" s="48" t="n">
        <x:v>203.974</x:v>
      </x:c>
      <x:c r="G92" s="58"/>
      <x:c r="H92" s="59" t="n">
        <x:f>IF(L92="Primary",IFERROR(F92/SUMIFS($F$4:$F$146,$B$4:$B$146,B92,$C$4:$C$146,C92,$L$4:$L$146,"Primary"),""),"")</x:f>
        <x:v>0.052498865596840194</x:v>
      </x:c>
      <x:c r="I92" s="16" t="str">
        <x:v>Official standardized</x:v>
      </x:c>
      <x:c r="J92" s="16" t="str">
        <x:v>https://www.education.gov.au/download/19832/finance-2024-financial-reports-higher-education-providers/43010/2024-higher-education-providers-finance-tables/csv</x:v>
      </x:c>
      <x:c r="K92" s="16" t="str"/>
      <x:c r="L92" s="16" t="str">
        <x:v>Primary</x:v>
      </x:c>
    </x:row>
    <x:row r="93">
      <x:c r="A93" s="16" t="n">
        <x:v>28</x:v>
      </x:c>
      <x:c r="B93" s="16" t="str">
        <x:v>The University of Sydney</x:v>
      </x:c>
      <x:c r="C93" s="16" t="str">
        <x:v>FY2024</x:v>
      </x:c>
      <x:c r="D93" s="16" t="str">
        <x:v>AUD</x:v>
      </x:c>
      <x:c r="E93" s="16" t="str">
        <x:v>Royalties/trademarks/licenses</x:v>
      </x:c>
      <x:c r="F93" s="48" t="n">
        <x:v>4.272</x:v>
      </x:c>
      <x:c r="G93" s="58"/>
      <x:c r="H93" s="59" t="n">
        <x:f>IF(L93="Primary",IFERROR(F93/SUMIFS($F$4:$F$146,$B$4:$B$146,B93,$C$4:$C$146,C93,$L$4:$L$146,"Primary"),""),"")</x:f>
        <x:v>0.0010995281449091617</x:v>
      </x:c>
      <x:c r="I93" s="16" t="str">
        <x:v>Official standardized</x:v>
      </x:c>
      <x:c r="J93" s="16" t="str">
        <x:v>https://www.education.gov.au/download/19832/finance-2024-financial-reports-higher-education-providers/43010/2024-higher-education-providers-finance-tables/csv</x:v>
      </x:c>
      <x:c r="K93" s="16" t="str"/>
      <x:c r="L93" s="16" t="str">
        <x:v>Primary</x:v>
      </x:c>
    </x:row>
    <x:row r="94">
      <x:c r="A94" s="16" t="n">
        <x:v>28</x:v>
      </x:c>
      <x:c r="B94" s="16" t="str">
        <x:v>The University of Sydney</x:v>
      </x:c>
      <x:c r="C94" s="16" t="str">
        <x:v>FY2024</x:v>
      </x:c>
      <x:c r="D94" s="16" t="str">
        <x:v>AUD</x:v>
      </x:c>
      <x:c r="E94" s="16" t="str">
        <x:v>Share of net result</x:v>
      </x:c>
      <x:c r="F94" s="48" t="n">
        <x:v>0</x:v>
      </x:c>
      <x:c r="G94" s="58"/>
      <x:c r="H94" s="59" t="n">
        <x:f>IF(L94="Primary",IFERROR(F94/SUMIFS($F$4:$F$146,$B$4:$B$146,B94,$C$4:$C$146,C94,$L$4:$L$146,"Primary"),""),"")</x:f>
        <x:v>0</x:v>
      </x:c>
      <x:c r="I94" s="16" t="str">
        <x:v>Official standardized</x:v>
      </x:c>
      <x:c r="J94" s="16" t="str">
        <x:v>https://www.education.gov.au/download/19832/finance-2024-financial-reports-higher-education-providers/43010/2024-higher-education-providers-finance-tables/csv</x:v>
      </x:c>
      <x:c r="K94" s="16" t="str"/>
      <x:c r="L94" s="16" t="str">
        <x:v>Primary</x:v>
      </x:c>
    </x:row>
    <x:row r="95">
      <x:c r="A95" s="16" t="n">
        <x:v>28</x:v>
      </x:c>
      <x:c r="B95" s="16" t="str">
        <x:v>The University of Sydney</x:v>
      </x:c>
      <x:c r="C95" s="16" t="str">
        <x:v>FY2024</x:v>
      </x:c>
      <x:c r="D95" s="16" t="str">
        <x:v>AUD</x:v>
      </x:c>
      <x:c r="E95" s="16" t="str">
        <x:v>State &amp; local government</x:v>
      </x:c>
      <x:c r="F95" s="48" t="n">
        <x:v>58.967</x:v>
      </x:c>
      <x:c r="G95" s="58"/>
      <x:c r="H95" s="59" t="n">
        <x:f>IF(L95="Primary",IFERROR(F95/SUMIFS($F$4:$F$146,$B$4:$B$146,B95,$C$4:$C$146,C95,$L$4:$L$146,"Primary"),""),"")</x:f>
        <x:v>0.015176937294208458</x:v>
      </x:c>
      <x:c r="I95" s="16" t="str">
        <x:v>Official standardized</x:v>
      </x:c>
      <x:c r="J95" s="16" t="str">
        <x:v>https://www.education.gov.au/download/19832/finance-2024-financial-reports-higher-education-providers/43010/2024-higher-education-providers-finance-tables/csv</x:v>
      </x:c>
      <x:c r="K95" s="16" t="str"/>
      <x:c r="L95" s="16" t="str">
        <x:v>Primary</x:v>
      </x:c>
    </x:row>
    <x:row r="96">
      <x:c r="A96" s="16" t="n">
        <x:v>28</x:v>
      </x:c>
      <x:c r="B96" s="16" t="str">
        <x:v>The University of Sydney</x:v>
      </x:c>
      <x:c r="C96" s="16" t="str">
        <x:v>FY2024</x:v>
      </x:c>
      <x:c r="D96" s="16" t="str">
        <x:v>AUD</x:v>
      </x:c>
      <x:c r="E96" s="16" t="str">
        <x:v>Student contributions</x:v>
      </x:c>
      <x:c r="F96" s="48" t="n">
        <x:v>50.836</x:v>
      </x:c>
      <x:c r="G96" s="58"/>
      <x:c r="H96" s="59" t="n">
        <x:f>IF(L96="Primary",IFERROR(F96/SUMIFS($F$4:$F$146,$B$4:$B$146,B96,$C$4:$C$146,C96,$L$4:$L$146,"Primary"),""),"")</x:f>
        <x:v>0.013084179020272035</x:v>
      </x:c>
      <x:c r="I96" s="16" t="str">
        <x:v>Official standardized</x:v>
      </x:c>
      <x:c r="J96" s="16" t="str">
        <x:v>https://www.education.gov.au/download/19832/finance-2024-financial-reports-higher-education-providers/43010/2024-higher-education-providers-finance-tables/csv</x:v>
      </x:c>
      <x:c r="K96" s="16" t="str"/>
      <x:c r="L96" s="16" t="str">
        <x:v>Primary</x:v>
      </x:c>
    </x:row>
    <x:row r="97">
      <x:c r="A97" s="16" t="n">
        <x:v>29</x:v>
      </x:c>
      <x:c r="B97" s="16" t="str">
        <x:v>Australian National University (ANU)</x:v>
      </x:c>
      <x:c r="C97" s="16" t="str">
        <x:v>FY2024</x:v>
      </x:c>
      <x:c r="D97" s="16" t="str">
        <x:v>AUD</x:v>
      </x:c>
      <x:c r="E97" s="16" t="str">
        <x:v>Australian Government financial assistance</x:v>
      </x:c>
      <x:c r="F97" s="48" t="n">
        <x:v>776.171</x:v>
      </x:c>
      <x:c r="G97" s="58"/>
      <x:c r="H97" s="59" t="n">
        <x:f>IF(L97="Primary",IFERROR(F97/SUMIFS($F$4:$F$146,$B$4:$B$146,B97,$C$4:$C$146,C97,$L$4:$L$146,"Primary"),""),"")</x:f>
        <x:v>0.4854670308535145</x:v>
      </x:c>
      <x:c r="I97" s="16" t="str">
        <x:v>Official standardized</x:v>
      </x:c>
      <x:c r="J97" s="16" t="str">
        <x:v>https://www.education.gov.au/download/19832/finance-2024-financial-reports-higher-education-providers/43010/2024-higher-education-providers-finance-tables/csv</x:v>
      </x:c>
      <x:c r="K97" s="16" t="str"/>
      <x:c r="L97" s="16" t="str">
        <x:v>Primary</x:v>
      </x:c>
    </x:row>
    <x:row r="98">
      <x:c r="A98" s="16" t="n">
        <x:v>29</x:v>
      </x:c>
      <x:c r="B98" s="16" t="str">
        <x:v>Australian National University (ANU)</x:v>
      </x:c>
      <x:c r="C98" s="16" t="str">
        <x:v>FY2024</x:v>
      </x:c>
      <x:c r="D98" s="16" t="str">
        <x:v>AUD</x:v>
      </x:c>
      <x:c r="E98" s="16" t="str">
        <x:v>Consultancy &amp; contracts</x:v>
      </x:c>
      <x:c r="F98" s="48" t="n">
        <x:v>102.577</x:v>
      </x:c>
      <x:c r="G98" s="58"/>
      <x:c r="H98" s="59" t="n">
        <x:f>IF(L98="Primary",IFERROR(F98/SUMIFS($F$4:$F$146,$B$4:$B$146,B98,$C$4:$C$146,C98,$L$4:$L$146,"Primary"),""),"")</x:f>
        <x:v>0.06415822238122908</x:v>
      </x:c>
      <x:c r="I98" s="16" t="str">
        <x:v>Official standardized</x:v>
      </x:c>
      <x:c r="J98" s="16" t="str">
        <x:v>https://www.education.gov.au/download/19832/finance-2024-financial-reports-higher-education-providers/43010/2024-higher-education-providers-finance-tables/csv</x:v>
      </x:c>
      <x:c r="K98" s="16" t="str"/>
      <x:c r="L98" s="16" t="str">
        <x:v>Primary</x:v>
      </x:c>
    </x:row>
    <x:row r="99">
      <x:c r="A99" s="16" t="n">
        <x:v>29</x:v>
      </x:c>
      <x:c r="B99" s="16" t="str">
        <x:v>Australian National University (ANU)</x:v>
      </x:c>
      <x:c r="C99" s="16" t="str">
        <x:v>FY2024</x:v>
      </x:c>
      <x:c r="D99" s="16" t="str">
        <x:v>AUD</x:v>
      </x:c>
      <x:c r="E99" s="16" t="str">
        <x:v>Fees &amp; charges</x:v>
      </x:c>
      <x:c r="F99" s="48" t="n">
        <x:v>345.099</x:v>
      </x:c>
      <x:c r="G99" s="58"/>
      <x:c r="H99" s="59" t="n">
        <x:f>IF(L99="Primary",IFERROR(F99/SUMIFS($F$4:$F$146,$B$4:$B$146,B99,$C$4:$C$146,C99,$L$4:$L$146,"Primary"),""),"")</x:f>
        <x:v>0.21584700649794566</x:v>
      </x:c>
      <x:c r="I99" s="16" t="str">
        <x:v>Official standardized</x:v>
      </x:c>
      <x:c r="J99" s="16" t="str">
        <x:v>https://www.education.gov.au/download/19832/finance-2024-financial-reports-higher-education-providers/43010/2024-higher-education-providers-finance-tables/csv</x:v>
      </x:c>
      <x:c r="K99" s="16" t="str"/>
      <x:c r="L99" s="16" t="str">
        <x:v>Primary</x:v>
      </x:c>
    </x:row>
    <x:row r="100">
      <x:c r="A100" s="16" t="n">
        <x:v>29</x:v>
      </x:c>
      <x:c r="B100" s="16" t="str">
        <x:v>Australian National University (ANU)</x:v>
      </x:c>
      <x:c r="C100" s="16" t="str">
        <x:v>FY2024</x:v>
      </x:c>
      <x:c r="D100" s="16" t="str">
        <x:v>AUD</x:v>
      </x:c>
      <x:c r="E100" s="16" t="str">
        <x:v>International students (subset of fees)</x:v>
      </x:c>
      <x:c r="F100" s="48" t="n">
        <x:v>296.278</x:v>
      </x:c>
      <x:c r="G100" s="58"/>
      <x:c r="H100" s="59" t="str">
        <x:f>IF(L100="Primary",IFERROR(F100/SUMIFS($F$4:$F$146,$B$4:$B$146,B100,$C$4:$C$146,C100,$L$4:$L$146,"Primary"),""),"")</x:f>
      </x:c>
      <x:c r="I100" s="16" t="str">
        <x:v>Supplemental subset - do not sum</x:v>
      </x:c>
      <x:c r="J100" s="16" t="str">
        <x:v>https://www.education.gov.au/download/19832/finance-2024-financial-reports-higher-education-providers/43010/2024-higher-education-providers-finance-tables/csv</x:v>
      </x:c>
      <x:c r="K100" s="16" t="str">
        <x:v>Subset of Fees &amp; Charges; used for dependency ratio.</x:v>
      </x:c>
      <x:c r="L100" s="16" t="str">
        <x:v>Supplemental</x:v>
      </x:c>
    </x:row>
    <x:row r="101">
      <x:c r="A101" s="16" t="n">
        <x:v>29</x:v>
      </x:c>
      <x:c r="B101" s="16" t="str">
        <x:v>Australian National University (ANU)</x:v>
      </x:c>
      <x:c r="C101" s="16" t="str">
        <x:v>FY2024</x:v>
      </x:c>
      <x:c r="D101" s="16" t="str">
        <x:v>AUD</x:v>
      </x:c>
      <x:c r="E101" s="16" t="str">
        <x:v>Investment income</x:v>
      </x:c>
      <x:c r="F101" s="48" t="n">
        <x:v>215.01</x:v>
      </x:c>
      <x:c r="G101" s="58"/>
      <x:c r="H101" s="59" t="n">
        <x:f>IF(L101="Primary",IFERROR(F101/SUMIFS($F$4:$F$146,$B$4:$B$146,B101,$C$4:$C$146,C101,$L$4:$L$146,"Primary"),""),"")</x:f>
        <x:v>0.13448101810530688</x:v>
      </x:c>
      <x:c r="I101" s="16" t="str">
        <x:v>Official standardized</x:v>
      </x:c>
      <x:c r="J101" s="16" t="str">
        <x:v>https://www.education.gov.au/download/19832/finance-2024-financial-reports-higher-education-providers/43010/2024-higher-education-providers-finance-tables/csv</x:v>
      </x:c>
      <x:c r="K101" s="16" t="str"/>
      <x:c r="L101" s="16" t="str">
        <x:v>Primary</x:v>
      </x:c>
    </x:row>
    <x:row r="102">
      <x:c r="A102" s="16" t="n">
        <x:v>29</x:v>
      </x:c>
      <x:c r="B102" s="16" t="str">
        <x:v>Australian National University (ANU)</x:v>
      </x:c>
      <x:c r="C102" s="16" t="str">
        <x:v>FY2024</x:v>
      </x:c>
      <x:c r="D102" s="16" t="str">
        <x:v>AUD</x:v>
      </x:c>
      <x:c r="E102" s="16" t="str">
        <x:v>Other income</x:v>
      </x:c>
      <x:c r="F102" s="48" t="n">
        <x:v>146.262</x:v>
      </x:c>
      <x:c r="G102" s="58"/>
      <x:c r="H102" s="59" t="n">
        <x:f>IF(L102="Primary",IFERROR(F102/SUMIFS($F$4:$F$146,$B$4:$B$146,B102,$C$4:$C$146,C102,$L$4:$L$146,"Primary"),""),"")</x:f>
        <x:v>0.09148161792529834</x:v>
      </x:c>
      <x:c r="I102" s="16" t="str">
        <x:v>Official standardized</x:v>
      </x:c>
      <x:c r="J102" s="16" t="str">
        <x:v>https://www.education.gov.au/download/19832/finance-2024-financial-reports-higher-education-providers/43010/2024-higher-education-providers-finance-tables/csv</x:v>
      </x:c>
      <x:c r="K102" s="16" t="str"/>
      <x:c r="L102" s="16" t="str">
        <x:v>Primary</x:v>
      </x:c>
    </x:row>
    <x:row r="103">
      <x:c r="A103" s="16" t="n">
        <x:v>29</x:v>
      </x:c>
      <x:c r="B103" s="16" t="str">
        <x:v>Australian National University (ANU)</x:v>
      </x:c>
      <x:c r="C103" s="16" t="str">
        <x:v>FY2024</x:v>
      </x:c>
      <x:c r="D103" s="16" t="str">
        <x:v>AUD</x:v>
      </x:c>
      <x:c r="E103" s="16" t="str">
        <x:v>Royalties/trademarks/licenses</x:v>
      </x:c>
      <x:c r="F103" s="48" t="n">
        <x:v>0.018</x:v>
      </x:c>
      <x:c r="G103" s="58"/>
      <x:c r="H103" s="59" t="n">
        <x:f>IF(L103="Primary",IFERROR(F103/SUMIFS($F$4:$F$146,$B$4:$B$146,B103,$C$4:$C$146,C103,$L$4:$L$146,"Primary"),""),"")</x:f>
        <x:v>0.000011258352290105223</x:v>
      </x:c>
      <x:c r="I103" s="16" t="str">
        <x:v>Official standardized</x:v>
      </x:c>
      <x:c r="J103" s="16" t="str">
        <x:v>https://www.education.gov.au/download/19832/finance-2024-financial-reports-higher-education-providers/43010/2024-higher-education-providers-finance-tables/csv</x:v>
      </x:c>
      <x:c r="K103" s="16" t="str"/>
      <x:c r="L103" s="16" t="str">
        <x:v>Primary</x:v>
      </x:c>
    </x:row>
    <x:row r="104">
      <x:c r="A104" s="16" t="n">
        <x:v>29</x:v>
      </x:c>
      <x:c r="B104" s="16" t="str">
        <x:v>Australian National University (ANU)</x:v>
      </x:c>
      <x:c r="C104" s="16" t="str">
        <x:v>FY2024</x:v>
      </x:c>
      <x:c r="D104" s="16" t="str">
        <x:v>AUD</x:v>
      </x:c>
      <x:c r="E104" s="16" t="str">
        <x:v>Share of net result</x:v>
      </x:c>
      <x:c r="F104" s="48" t="n">
        <x:v>0</x:v>
      </x:c>
      <x:c r="G104" s="58"/>
      <x:c r="H104" s="59" t="n">
        <x:f>IF(L104="Primary",IFERROR(F104/SUMIFS($F$4:$F$146,$B$4:$B$146,B104,$C$4:$C$146,C104,$L$4:$L$146,"Primary"),""),"")</x:f>
        <x:v>0</x:v>
      </x:c>
      <x:c r="I104" s="16" t="str">
        <x:v>Official standardized</x:v>
      </x:c>
      <x:c r="J104" s="16" t="str">
        <x:v>https://www.education.gov.au/download/19832/finance-2024-financial-reports-higher-education-providers/43010/2024-higher-education-providers-finance-tables/csv</x:v>
      </x:c>
      <x:c r="K104" s="16" t="str"/>
      <x:c r="L104" s="16" t="str">
        <x:v>Primary</x:v>
      </x:c>
    </x:row>
    <x:row r="105">
      <x:c r="A105" s="16" t="n">
        <x:v>29</x:v>
      </x:c>
      <x:c r="B105" s="16" t="str">
        <x:v>Australian National University (ANU)</x:v>
      </x:c>
      <x:c r="C105" s="16" t="str">
        <x:v>FY2024</x:v>
      </x:c>
      <x:c r="D105" s="16" t="str">
        <x:v>AUD</x:v>
      </x:c>
      <x:c r="E105" s="16" t="str">
        <x:v>State &amp; local government</x:v>
      </x:c>
      <x:c r="F105" s="48" t="n">
        <x:v>1.672</x:v>
      </x:c>
      <x:c r="G105" s="58"/>
      <x:c r="H105" s="59" t="n">
        <x:f>IF(L105="Primary",IFERROR(F105/SUMIFS($F$4:$F$146,$B$4:$B$146,B105,$C$4:$C$146,C105,$L$4:$L$146,"Primary"),""),"")</x:f>
        <x:v>0.0010457758349475517</x:v>
      </x:c>
      <x:c r="I105" s="16" t="str">
        <x:v>Official standardized</x:v>
      </x:c>
      <x:c r="J105" s="16" t="str">
        <x:v>https://www.education.gov.au/download/19832/finance-2024-financial-reports-higher-education-providers/43010/2024-higher-education-providers-finance-tables/csv</x:v>
      </x:c>
      <x:c r="K105" s="16" t="str"/>
      <x:c r="L105" s="16" t="str">
        <x:v>Primary</x:v>
      </x:c>
    </x:row>
    <x:row r="106">
      <x:c r="A106" s="16" t="n">
        <x:v>29</x:v>
      </x:c>
      <x:c r="B106" s="16" t="str">
        <x:v>Australian National University (ANU)</x:v>
      </x:c>
      <x:c r="C106" s="16" t="str">
        <x:v>FY2024</x:v>
      </x:c>
      <x:c r="D106" s="16" t="str">
        <x:v>AUD</x:v>
      </x:c>
      <x:c r="E106" s="16" t="str">
        <x:v>Student contributions</x:v>
      </x:c>
      <x:c r="F106" s="48" t="n">
        <x:v>12.004</x:v>
      </x:c>
      <x:c r="G106" s="58"/>
      <x:c r="H106" s="59" t="n">
        <x:f>IF(L106="Primary",IFERROR(F106/SUMIFS($F$4:$F$146,$B$4:$B$146,B106,$C$4:$C$146,C106,$L$4:$L$146,"Primary"),""),"")</x:f>
        <x:v>0.007508070049467949</x:v>
      </x:c>
      <x:c r="I106" s="16" t="str">
        <x:v>Official standardized</x:v>
      </x:c>
      <x:c r="J106" s="16" t="str">
        <x:v>https://www.education.gov.au/download/19832/finance-2024-financial-reports-higher-education-providers/43010/2024-higher-education-providers-finance-tables/csv</x:v>
      </x:c>
      <x:c r="K106" s="16" t="str"/>
      <x:c r="L106" s="16" t="str">
        <x:v>Primary</x:v>
      </x:c>
    </x:row>
    <x:row r="107">
      <x:c r="A107" s="16" t="n">
        <x:v>31</x:v>
      </x:c>
      <x:c r="B107" s="16" t="str">
        <x:v>Monash University</x:v>
      </x:c>
      <x:c r="C107" s="16" t="str">
        <x:v>FY2024</x:v>
      </x:c>
      <x:c r="D107" s="16" t="str">
        <x:v>AUD</x:v>
      </x:c>
      <x:c r="E107" s="16" t="str">
        <x:v>Australian Government financial assistance</x:v>
      </x:c>
      <x:c r="F107" s="48" t="n">
        <x:v>1422.625</x:v>
      </x:c>
      <x:c r="G107" s="58"/>
      <x:c r="H107" s="59" t="n">
        <x:f>IF(L107="Primary",IFERROR(F107/SUMIFS($F$4:$F$146,$B$4:$B$146,B107,$C$4:$C$146,C107,$L$4:$L$146,"Primary"),""),"")</x:f>
        <x:v>0.41128287588819173</x:v>
      </x:c>
      <x:c r="I107" s="16" t="str">
        <x:v>Official standardized</x:v>
      </x:c>
      <x:c r="J107" s="16" t="str">
        <x:v>https://www.education.gov.au/download/19832/finance-2024-financial-reports-higher-education-providers/43010/2024-higher-education-providers-finance-tables/csv</x:v>
      </x:c>
      <x:c r="K107" s="16" t="str"/>
      <x:c r="L107" s="16" t="str">
        <x:v>Primary</x:v>
      </x:c>
    </x:row>
    <x:row r="108">
      <x:c r="A108" s="16" t="n">
        <x:v>31</x:v>
      </x:c>
      <x:c r="B108" s="16" t="str">
        <x:v>Monash University</x:v>
      </x:c>
      <x:c r="C108" s="16" t="str">
        <x:v>FY2024</x:v>
      </x:c>
      <x:c r="D108" s="16" t="str">
        <x:v>AUD</x:v>
      </x:c>
      <x:c r="E108" s="16" t="str">
        <x:v>Consultancy &amp; contracts</x:v>
      </x:c>
      <x:c r="F108" s="48" t="n">
        <x:v>167.63</x:v>
      </x:c>
      <x:c r="G108" s="58"/>
      <x:c r="H108" s="59" t="n">
        <x:f>IF(L108="Primary",IFERROR(F108/SUMIFS($F$4:$F$146,$B$4:$B$146,B108,$C$4:$C$146,C108,$L$4:$L$146,"Primary"),""),"")</x:f>
        <x:v>0.04846206729471054</x:v>
      </x:c>
      <x:c r="I108" s="16" t="str">
        <x:v>Official standardized</x:v>
      </x:c>
      <x:c r="J108" s="16" t="str">
        <x:v>https://www.education.gov.au/download/19832/finance-2024-financial-reports-higher-education-providers/43010/2024-higher-education-providers-finance-tables/csv</x:v>
      </x:c>
      <x:c r="K108" s="16" t="str"/>
      <x:c r="L108" s="16" t="str">
        <x:v>Primary</x:v>
      </x:c>
    </x:row>
    <x:row r="109">
      <x:c r="A109" s="16" t="n">
        <x:v>31</x:v>
      </x:c>
      <x:c r="B109" s="16" t="str">
        <x:v>Monash University</x:v>
      </x:c>
      <x:c r="C109" s="16" t="str">
        <x:v>FY2024</x:v>
      </x:c>
      <x:c r="D109" s="16" t="str">
        <x:v>AUD</x:v>
      </x:c>
      <x:c r="E109" s="16" t="str">
        <x:v>Fees &amp; charges</x:v>
      </x:c>
      <x:c r="F109" s="48" t="n">
        <x:v>1287.085</x:v>
      </x:c>
      <x:c r="G109" s="58"/>
      <x:c r="H109" s="59" t="n">
        <x:f>IF(L109="Primary",IFERROR(F109/SUMIFS($F$4:$F$146,$B$4:$B$146,B109,$C$4:$C$146,C109,$L$4:$L$146,"Primary"),""),"")</x:f>
        <x:v>0.37209807244534104</x:v>
      </x:c>
      <x:c r="I109" s="16" t="str">
        <x:v>Official standardized</x:v>
      </x:c>
      <x:c r="J109" s="16" t="str">
        <x:v>https://www.education.gov.au/download/19832/finance-2024-financial-reports-higher-education-providers/43010/2024-higher-education-providers-finance-tables/csv</x:v>
      </x:c>
      <x:c r="K109" s="16" t="str"/>
      <x:c r="L109" s="16" t="str">
        <x:v>Primary</x:v>
      </x:c>
    </x:row>
    <x:row r="110">
      <x:c r="A110" s="16" t="n">
        <x:v>31</x:v>
      </x:c>
      <x:c r="B110" s="16" t="str">
        <x:v>Monash University</x:v>
      </x:c>
      <x:c r="C110" s="16" t="str">
        <x:v>FY2024</x:v>
      </x:c>
      <x:c r="D110" s="16" t="str">
        <x:v>AUD</x:v>
      </x:c>
      <x:c r="E110" s="16" t="str">
        <x:v>International students (subset of fees)</x:v>
      </x:c>
      <x:c r="F110" s="48" t="n">
        <x:v>1136.18</x:v>
      </x:c>
      <x:c r="G110" s="58"/>
      <x:c r="H110" s="59" t="str">
        <x:f>IF(L110="Primary",IFERROR(F110/SUMIFS($F$4:$F$146,$B$4:$B$146,B110,$C$4:$C$146,C110,$L$4:$L$146,"Primary"),""),"")</x:f>
      </x:c>
      <x:c r="I110" s="16" t="str">
        <x:v>Supplemental subset - do not sum</x:v>
      </x:c>
      <x:c r="J110" s="16" t="str">
        <x:v>https://www.education.gov.au/download/19832/finance-2024-financial-reports-higher-education-providers/43010/2024-higher-education-providers-finance-tables/csv</x:v>
      </x:c>
      <x:c r="K110" s="16" t="str">
        <x:v>Subset of Fees &amp; Charges; used for dependency ratio.</x:v>
      </x:c>
      <x:c r="L110" s="16" t="str">
        <x:v>Supplemental</x:v>
      </x:c>
    </x:row>
    <x:row r="111">
      <x:c r="A111" s="16" t="n">
        <x:v>31</x:v>
      </x:c>
      <x:c r="B111" s="16" t="str">
        <x:v>Monash University</x:v>
      </x:c>
      <x:c r="C111" s="16" t="str">
        <x:v>FY2024</x:v>
      </x:c>
      <x:c r="D111" s="16" t="str">
        <x:v>AUD</x:v>
      </x:c>
      <x:c r="E111" s="16" t="str">
        <x:v>Investment income</x:v>
      </x:c>
      <x:c r="F111" s="48" t="n">
        <x:v>153.318</x:v>
      </x:c>
      <x:c r="G111" s="58"/>
      <x:c r="H111" s="59" t="n">
        <x:f>IF(L111="Primary",IFERROR(F111/SUMIFS($F$4:$F$146,$B$4:$B$146,B111,$C$4:$C$146,C111,$L$4:$L$146,"Primary"),""),"")</x:f>
        <x:v>0.04432444809097674</x:v>
      </x:c>
      <x:c r="I111" s="16" t="str">
        <x:v>Official standardized</x:v>
      </x:c>
      <x:c r="J111" s="16" t="str">
        <x:v>https://www.education.gov.au/download/19832/finance-2024-financial-reports-higher-education-providers/43010/2024-higher-education-providers-finance-tables/csv</x:v>
      </x:c>
      <x:c r="K111" s="16" t="str"/>
      <x:c r="L111" s="16" t="str">
        <x:v>Primary</x:v>
      </x:c>
    </x:row>
    <x:row r="112">
      <x:c r="A112" s="16" t="n">
        <x:v>31</x:v>
      </x:c>
      <x:c r="B112" s="16" t="str">
        <x:v>Monash University</x:v>
      </x:c>
      <x:c r="C112" s="16" t="str">
        <x:v>FY2024</x:v>
      </x:c>
      <x:c r="D112" s="16" t="str">
        <x:v>AUD</x:v>
      </x:c>
      <x:c r="E112" s="16" t="str">
        <x:v>Other income</x:v>
      </x:c>
      <x:c r="F112" s="48" t="n">
        <x:v>305.937</x:v>
      </x:c>
      <x:c r="G112" s="58"/>
      <x:c r="H112" s="59" t="n">
        <x:f>IF(L112="Primary",IFERROR(F112/SUMIFS($F$4:$F$146,$B$4:$B$146,B112,$C$4:$C$146,C112,$L$4:$L$146,"Primary"),""),"")</x:f>
        <x:v>0.08844681430496844</x:v>
      </x:c>
      <x:c r="I112" s="16" t="str">
        <x:v>Official standardized</x:v>
      </x:c>
      <x:c r="J112" s="16" t="str">
        <x:v>https://www.education.gov.au/download/19832/finance-2024-financial-reports-higher-education-providers/43010/2024-higher-education-providers-finance-tables/csv</x:v>
      </x:c>
      <x:c r="K112" s="16" t="str"/>
      <x:c r="L112" s="16" t="str">
        <x:v>Primary</x:v>
      </x:c>
    </x:row>
    <x:row r="113">
      <x:c r="A113" s="16" t="n">
        <x:v>31</x:v>
      </x:c>
      <x:c r="B113" s="16" t="str">
        <x:v>Monash University</x:v>
      </x:c>
      <x:c r="C113" s="16" t="str">
        <x:v>FY2024</x:v>
      </x:c>
      <x:c r="D113" s="16" t="str">
        <x:v>AUD</x:v>
      </x:c>
      <x:c r="E113" s="16" t="str">
        <x:v>Royalties/trademarks/licenses</x:v>
      </x:c>
      <x:c r="F113" s="48" t="n">
        <x:v>30.145</x:v>
      </x:c>
      <x:c r="G113" s="58"/>
      <x:c r="H113" s="59" t="n">
        <x:f>IF(L113="Primary",IFERROR(F113/SUMIFS($F$4:$F$146,$B$4:$B$146,B113,$C$4:$C$146,C113,$L$4:$L$146,"Primary"),""),"")</x:f>
        <x:v>0.008714961633353512</x:v>
      </x:c>
      <x:c r="I113" s="16" t="str">
        <x:v>Official standardized</x:v>
      </x:c>
      <x:c r="J113" s="16" t="str">
        <x:v>https://www.education.gov.au/download/19832/finance-2024-financial-reports-higher-education-providers/43010/2024-higher-education-providers-finance-tables/csv</x:v>
      </x:c>
      <x:c r="K113" s="16" t="str"/>
      <x:c r="L113" s="16" t="str">
        <x:v>Primary</x:v>
      </x:c>
    </x:row>
    <x:row r="114">
      <x:c r="A114" s="16" t="n">
        <x:v>31</x:v>
      </x:c>
      <x:c r="B114" s="16" t="str">
        <x:v>Monash University</x:v>
      </x:c>
      <x:c r="C114" s="16" t="str">
        <x:v>FY2024</x:v>
      </x:c>
      <x:c r="D114" s="16" t="str">
        <x:v>AUD</x:v>
      </x:c>
      <x:c r="E114" s="16" t="str">
        <x:v>Share of net result</x:v>
      </x:c>
      <x:c r="F114" s="48" t="n">
        <x:v>0</x:v>
      </x:c>
      <x:c r="G114" s="58"/>
      <x:c r="H114" s="59" t="n">
        <x:f>IF(L114="Primary",IFERROR(F114/SUMIFS($F$4:$F$146,$B$4:$B$146,B114,$C$4:$C$146,C114,$L$4:$L$146,"Primary"),""),"")</x:f>
        <x:v>0</x:v>
      </x:c>
      <x:c r="I114" s="16" t="str">
        <x:v>Official standardized</x:v>
      </x:c>
      <x:c r="J114" s="16" t="str">
        <x:v>https://www.education.gov.au/download/19832/finance-2024-financial-reports-higher-education-providers/43010/2024-higher-education-providers-finance-tables/csv</x:v>
      </x:c>
      <x:c r="K114" s="16" t="str"/>
      <x:c r="L114" s="16" t="str">
        <x:v>Primary</x:v>
      </x:c>
    </x:row>
    <x:row r="115">
      <x:c r="A115" s="16" t="n">
        <x:v>31</x:v>
      </x:c>
      <x:c r="B115" s="16" t="str">
        <x:v>Monash University</x:v>
      </x:c>
      <x:c r="C115" s="16" t="str">
        <x:v>FY2024</x:v>
      </x:c>
      <x:c r="D115" s="16" t="str">
        <x:v>AUD</x:v>
      </x:c>
      <x:c r="E115" s="16" t="str">
        <x:v>State &amp; local government</x:v>
      </x:c>
      <x:c r="F115" s="48" t="n">
        <x:v>54.701</x:v>
      </x:c>
      <x:c r="G115" s="58"/>
      <x:c r="H115" s="59" t="n">
        <x:f>IF(L115="Primary",IFERROR(F115/SUMIFS($F$4:$F$146,$B$4:$B$146,B115,$C$4:$C$146,C115,$L$4:$L$146,"Primary"),""),"")</x:f>
        <x:v>0.015814135555019752</x:v>
      </x:c>
      <x:c r="I115" s="16" t="str">
        <x:v>Official standardized</x:v>
      </x:c>
      <x:c r="J115" s="16" t="str">
        <x:v>https://www.education.gov.au/download/19832/finance-2024-financial-reports-higher-education-providers/43010/2024-higher-education-providers-finance-tables/csv</x:v>
      </x:c>
      <x:c r="K115" s="16" t="str"/>
      <x:c r="L115" s="16" t="str">
        <x:v>Primary</x:v>
      </x:c>
    </x:row>
    <x:row r="116">
      <x:c r="A116" s="16" t="n">
        <x:v>31</x:v>
      </x:c>
      <x:c r="B116" s="16" t="str">
        <x:v>Monash University</x:v>
      </x:c>
      <x:c r="C116" s="16" t="str">
        <x:v>FY2024</x:v>
      </x:c>
      <x:c r="D116" s="16" t="str">
        <x:v>AUD</x:v>
      </x:c>
      <x:c r="E116" s="16" t="str">
        <x:v>Student contributions</x:v>
      </x:c>
      <x:c r="F116" s="48" t="n">
        <x:v>37.553</x:v>
      </x:c>
      <x:c r="G116" s="58"/>
      <x:c r="H116" s="59" t="n">
        <x:f>IF(L116="Primary",IFERROR(F116/SUMIFS($F$4:$F$146,$B$4:$B$146,B116,$C$4:$C$146,C116,$L$4:$L$146,"Primary"),""),"")</x:f>
        <x:v>0.010856624787438197</x:v>
      </x:c>
      <x:c r="I116" s="16" t="str">
        <x:v>Official standardized</x:v>
      </x:c>
      <x:c r="J116" s="16" t="str">
        <x:v>https://www.education.gov.au/download/19832/finance-2024-financial-reports-higher-education-providers/43010/2024-higher-education-providers-finance-tables/csv</x:v>
      </x:c>
      <x:c r="K116" s="16" t="str"/>
      <x:c r="L116" s="16" t="str">
        <x:v>Primary</x:v>
      </x:c>
    </x:row>
    <x:row r="117">
      <x:c r="A117" s="16" t="n">
        <x:v>40</x:v>
      </x:c>
      <x:c r="B117" s="16" t="str">
        <x:v>The University of Queensland</x:v>
      </x:c>
      <x:c r="C117" s="16" t="str">
        <x:v>FY2024</x:v>
      </x:c>
      <x:c r="D117" s="16" t="str">
        <x:v>AUD</x:v>
      </x:c>
      <x:c r="E117" s="16" t="str">
        <x:v>Australian Government financial assistance</x:v>
      </x:c>
      <x:c r="F117" s="48" t="n">
        <x:v>1076.07</x:v>
      </x:c>
      <x:c r="G117" s="58"/>
      <x:c r="H117" s="59" t="n">
        <x:f>IF(L117="Primary",IFERROR(F117/SUMIFS($F$4:$F$146,$B$4:$B$146,B117,$C$4:$C$146,C117,$L$4:$L$146,"Primary"),""),"")</x:f>
        <x:v>0.39881992561528606</x:v>
      </x:c>
      <x:c r="I117" s="16" t="str">
        <x:v>Official standardized</x:v>
      </x:c>
      <x:c r="J117" s="16" t="str">
        <x:v>https://www.education.gov.au/download/19832/finance-2024-financial-reports-higher-education-providers/43010/2024-higher-education-providers-finance-tables/csv</x:v>
      </x:c>
      <x:c r="K117" s="16" t="str"/>
      <x:c r="L117" s="16" t="str">
        <x:v>Primary</x:v>
      </x:c>
    </x:row>
    <x:row r="118">
      <x:c r="A118" s="16" t="n">
        <x:v>40</x:v>
      </x:c>
      <x:c r="B118" s="16" t="str">
        <x:v>The University of Queensland</x:v>
      </x:c>
      <x:c r="C118" s="16" t="str">
        <x:v>FY2024</x:v>
      </x:c>
      <x:c r="D118" s="16" t="str">
        <x:v>AUD</x:v>
      </x:c>
      <x:c r="E118" s="16" t="str">
        <x:v>Consultancy &amp; contracts</x:v>
      </x:c>
      <x:c r="F118" s="48" t="n">
        <x:v>245.426</x:v>
      </x:c>
      <x:c r="G118" s="58"/>
      <x:c r="H118" s="59" t="n">
        <x:f>IF(L118="Primary",IFERROR(F118/SUMIFS($F$4:$F$146,$B$4:$B$146,B118,$C$4:$C$146,C118,$L$4:$L$146,"Primary"),""),"")</x:f>
        <x:v>0.09096134922826321</x:v>
      </x:c>
      <x:c r="I118" s="16" t="str">
        <x:v>Official standardized</x:v>
      </x:c>
      <x:c r="J118" s="16" t="str">
        <x:v>https://www.education.gov.au/download/19832/finance-2024-financial-reports-higher-education-providers/43010/2024-higher-education-providers-finance-tables/csv</x:v>
      </x:c>
      <x:c r="K118" s="16" t="str"/>
      <x:c r="L118" s="16" t="str">
        <x:v>Primary</x:v>
      </x:c>
    </x:row>
    <x:row r="119">
      <x:c r="A119" s="16" t="n">
        <x:v>40</x:v>
      </x:c>
      <x:c r="B119" s="16" t="str">
        <x:v>The University of Queensland</x:v>
      </x:c>
      <x:c r="C119" s="16" t="str">
        <x:v>FY2024</x:v>
      </x:c>
      <x:c r="D119" s="16" t="str">
        <x:v>AUD</x:v>
      </x:c>
      <x:c r="E119" s="16" t="str">
        <x:v>Fees &amp; charges</x:v>
      </x:c>
      <x:c r="F119" s="48" t="n">
        <x:v>854.922</x:v>
      </x:c>
      <x:c r="G119" s="58"/>
      <x:c r="H119" s="59" t="n">
        <x:f>IF(L119="Primary",IFERROR(F119/SUMIFS($F$4:$F$146,$B$4:$B$146,B119,$C$4:$C$146,C119,$L$4:$L$146,"Primary"),""),"")</x:f>
        <x:v>0.3168566435704662</x:v>
      </x:c>
      <x:c r="I119" s="16" t="str">
        <x:v>Official standardized</x:v>
      </x:c>
      <x:c r="J119" s="16" t="str">
        <x:v>https://www.education.gov.au/download/19832/finance-2024-financial-reports-higher-education-providers/43010/2024-higher-education-providers-finance-tables/csv</x:v>
      </x:c>
      <x:c r="K119" s="16" t="str"/>
      <x:c r="L119" s="16" t="str">
        <x:v>Primary</x:v>
      </x:c>
    </x:row>
    <x:row r="120">
      <x:c r="A120" s="16" t="n">
        <x:v>40</x:v>
      </x:c>
      <x:c r="B120" s="16" t="str">
        <x:v>The University of Queensland</x:v>
      </x:c>
      <x:c r="C120" s="16" t="str">
        <x:v>FY2024</x:v>
      </x:c>
      <x:c r="D120" s="16" t="str">
        <x:v>AUD</x:v>
      </x:c>
      <x:c r="E120" s="16" t="str">
        <x:v>International students (subset of fees)</x:v>
      </x:c>
      <x:c r="F120" s="48" t="n">
        <x:v>774.077</x:v>
      </x:c>
      <x:c r="G120" s="58"/>
      <x:c r="H120" s="59" t="str">
        <x:f>IF(L120="Primary",IFERROR(F120/SUMIFS($F$4:$F$146,$B$4:$B$146,B120,$C$4:$C$146,C120,$L$4:$L$146,"Primary"),""),"")</x:f>
      </x:c>
      <x:c r="I120" s="16" t="str">
        <x:v>Supplemental subset - do not sum</x:v>
      </x:c>
      <x:c r="J120" s="16" t="str">
        <x:v>https://www.education.gov.au/download/19832/finance-2024-financial-reports-higher-education-providers/43010/2024-higher-education-providers-finance-tables/csv</x:v>
      </x:c>
      <x:c r="K120" s="16" t="str">
        <x:v>Subset of Fees &amp; Charges; used for dependency ratio.</x:v>
      </x:c>
      <x:c r="L120" s="16" t="str">
        <x:v>Supplemental</x:v>
      </x:c>
    </x:row>
    <x:row r="121">
      <x:c r="A121" s="16" t="n">
        <x:v>40</x:v>
      </x:c>
      <x:c r="B121" s="16" t="str">
        <x:v>The University of Queensland</x:v>
      </x:c>
      <x:c r="C121" s="16" t="str">
        <x:v>FY2024</x:v>
      </x:c>
      <x:c r="D121" s="16" t="str">
        <x:v>AUD</x:v>
      </x:c>
      <x:c r="E121" s="16" t="str">
        <x:v>Investment income</x:v>
      </x:c>
      <x:c r="F121" s="48" t="n">
        <x:v>300.51</x:v>
      </x:c>
      <x:c r="G121" s="58"/>
      <x:c r="H121" s="59" t="n">
        <x:f>IF(L121="Primary",IFERROR(F121/SUMIFS($F$4:$F$146,$B$4:$B$146,B121,$C$4:$C$146,C121,$L$4:$L$146,"Primary"),""),"")</x:f>
        <x:v>0.11137693258491513</x:v>
      </x:c>
      <x:c r="I121" s="16" t="str">
        <x:v>Official standardized</x:v>
      </x:c>
      <x:c r="J121" s="16" t="str">
        <x:v>https://www.education.gov.au/download/19832/finance-2024-financial-reports-higher-education-providers/43010/2024-higher-education-providers-finance-tables/csv</x:v>
      </x:c>
      <x:c r="K121" s="16" t="str"/>
      <x:c r="L121" s="16" t="str">
        <x:v>Primary</x:v>
      </x:c>
    </x:row>
    <x:row r="122">
      <x:c r="A122" s="16" t="n">
        <x:v>40</x:v>
      </x:c>
      <x:c r="B122" s="16" t="str">
        <x:v>The University of Queensland</x:v>
      </x:c>
      <x:c r="C122" s="16" t="str">
        <x:v>FY2024</x:v>
      </x:c>
      <x:c r="D122" s="16" t="str">
        <x:v>AUD</x:v>
      </x:c>
      <x:c r="E122" s="16" t="str">
        <x:v>Other income</x:v>
      </x:c>
      <x:c r="F122" s="48" t="n">
        <x:v>127.931</x:v>
      </x:c>
      <x:c r="G122" s="58"/>
      <x:c r="H122" s="59" t="n">
        <x:f>IF(L122="Primary",IFERROR(F122/SUMIFS($F$4:$F$146,$B$4:$B$146,B122,$C$4:$C$146,C122,$L$4:$L$146,"Primary"),""),"")</x:f>
        <x:v>0.04741460304988445</x:v>
      </x:c>
      <x:c r="I122" s="16" t="str">
        <x:v>Official standardized</x:v>
      </x:c>
      <x:c r="J122" s="16" t="str">
        <x:v>https://www.education.gov.au/download/19832/finance-2024-financial-reports-higher-education-providers/43010/2024-higher-education-providers-finance-tables/csv</x:v>
      </x:c>
      <x:c r="K122" s="16" t="str"/>
      <x:c r="L122" s="16" t="str">
        <x:v>Primary</x:v>
      </x:c>
    </x:row>
    <x:row r="123">
      <x:c r="A123" s="16" t="n">
        <x:v>40</x:v>
      </x:c>
      <x:c r="B123" s="16" t="str">
        <x:v>The University of Queensland</x:v>
      </x:c>
      <x:c r="C123" s="16" t="str">
        <x:v>FY2024</x:v>
      </x:c>
      <x:c r="D123" s="16" t="str">
        <x:v>AUD</x:v>
      </x:c>
      <x:c r="E123" s="16" t="str">
        <x:v>Royalties/trademarks/licenses</x:v>
      </x:c>
      <x:c r="F123" s="48" t="n">
        <x:v>18.598</x:v>
      </x:c>
      <x:c r="G123" s="58"/>
      <x:c r="H123" s="59" t="n">
        <x:f>IF(L123="Primary",IFERROR(F123/SUMIFS($F$4:$F$146,$B$4:$B$146,B123,$C$4:$C$146,C123,$L$4:$L$146,"Primary"),""),"")</x:f>
        <x:v>0.006892909361466346</x:v>
      </x:c>
      <x:c r="I123" s="16" t="str">
        <x:v>Official standardized</x:v>
      </x:c>
      <x:c r="J123" s="16" t="str">
        <x:v>https://www.education.gov.au/download/19832/finance-2024-financial-reports-higher-education-providers/43010/2024-higher-education-providers-finance-tables/csv</x:v>
      </x:c>
      <x:c r="K123" s="16" t="str"/>
      <x:c r="L123" s="16" t="str">
        <x:v>Primary</x:v>
      </x:c>
    </x:row>
    <x:row r="124">
      <x:c r="A124" s="16" t="n">
        <x:v>40</x:v>
      </x:c>
      <x:c r="B124" s="16" t="str">
        <x:v>The University of Queensland</x:v>
      </x:c>
      <x:c r="C124" s="16" t="str">
        <x:v>FY2024</x:v>
      </x:c>
      <x:c r="D124" s="16" t="str">
        <x:v>AUD</x:v>
      </x:c>
      <x:c r="E124" s="16" t="str">
        <x:v>Share of net result</x:v>
      </x:c>
      <x:c r="F124" s="48" t="n">
        <x:v>0</x:v>
      </x:c>
      <x:c r="G124" s="58"/>
      <x:c r="H124" s="59" t="n">
        <x:f>IF(L124="Primary",IFERROR(F124/SUMIFS($F$4:$F$146,$B$4:$B$146,B124,$C$4:$C$146,C124,$L$4:$L$146,"Primary"),""),"")</x:f>
        <x:v>0</x:v>
      </x:c>
      <x:c r="I124" s="16" t="str">
        <x:v>Official standardized</x:v>
      </x:c>
      <x:c r="J124" s="16" t="str">
        <x:v>https://www.education.gov.au/download/19832/finance-2024-financial-reports-higher-education-providers/43010/2024-higher-education-providers-finance-tables/csv</x:v>
      </x:c>
      <x:c r="K124" s="16" t="str"/>
      <x:c r="L124" s="16" t="str">
        <x:v>Primary</x:v>
      </x:c>
    </x:row>
    <x:row r="125">
      <x:c r="A125" s="16" t="n">
        <x:v>40</x:v>
      </x:c>
      <x:c r="B125" s="16" t="str">
        <x:v>The University of Queensland</x:v>
      </x:c>
      <x:c r="C125" s="16" t="str">
        <x:v>FY2024</x:v>
      </x:c>
      <x:c r="D125" s="16" t="str">
        <x:v>AUD</x:v>
      </x:c>
      <x:c r="E125" s="16" t="str">
        <x:v>State &amp; local government</x:v>
      </x:c>
      <x:c r="F125" s="48" t="n">
        <x:v>43.664</x:v>
      </x:c>
      <x:c r="G125" s="58"/>
      <x:c r="H125" s="59" t="n">
        <x:f>IF(L125="Primary",IFERROR(F125/SUMIFS($F$4:$F$146,$B$4:$B$146,B125,$C$4:$C$146,C125,$L$4:$L$146,"Primary"),""),"")</x:f>
        <x:v>0.016183030130071326</x:v>
      </x:c>
      <x:c r="I125" s="16" t="str">
        <x:v>Official standardized</x:v>
      </x:c>
      <x:c r="J125" s="16" t="str">
        <x:v>https://www.education.gov.au/download/19832/finance-2024-financial-reports-higher-education-providers/43010/2024-higher-education-providers-finance-tables/csv</x:v>
      </x:c>
      <x:c r="K125" s="16" t="str"/>
      <x:c r="L125" s="16" t="str">
        <x:v>Primary</x:v>
      </x:c>
    </x:row>
    <x:row r="126">
      <x:c r="A126" s="16" t="n">
        <x:v>40</x:v>
      </x:c>
      <x:c r="B126" s="16" t="str">
        <x:v>The University of Queensland</x:v>
      </x:c>
      <x:c r="C126" s="16" t="str">
        <x:v>FY2024</x:v>
      </x:c>
      <x:c r="D126" s="16" t="str">
        <x:v>AUD</x:v>
      </x:c>
      <x:c r="E126" s="16" t="str">
        <x:v>Student contributions</x:v>
      </x:c>
      <x:c r="F126" s="48" t="n">
        <x:v>31.014</x:v>
      </x:c>
      <x:c r="G126" s="58"/>
      <x:c r="H126" s="59" t="n">
        <x:f>IF(L126="Primary",IFERROR(F126/SUMIFS($F$4:$F$146,$B$4:$B$146,B126,$C$4:$C$146,C126,$L$4:$L$146,"Primary"),""),"")</x:f>
        <x:v>0.011494606459647125</x:v>
      </x:c>
      <x:c r="I126" s="16" t="str">
        <x:v>Official standardized</x:v>
      </x:c>
      <x:c r="J126" s="16" t="str">
        <x:v>https://www.education.gov.au/download/19832/finance-2024-financial-reports-higher-education-providers/43010/2024-higher-education-providers-finance-tables/csv</x:v>
      </x:c>
      <x:c r="K126" s="16" t="str"/>
      <x:c r="L126" s="16" t="str">
        <x:v>Primary</x:v>
      </x:c>
    </x:row>
    <x:row r="127">
      <x:c r="A127" s="16" t="n">
        <x:v>77</x:v>
      </x:c>
      <x:c r="B127" s="16" t="str">
        <x:v>The University of Western Australia</x:v>
      </x:c>
      <x:c r="C127" s="16" t="str">
        <x:v>FY2024</x:v>
      </x:c>
      <x:c r="D127" s="16" t="str">
        <x:v>AUD</x:v>
      </x:c>
      <x:c r="E127" s="16" t="str">
        <x:v>Australian Government financial assistance</x:v>
      </x:c>
      <x:c r="F127" s="48" t="n">
        <x:v>553.301</x:v>
      </x:c>
      <x:c r="G127" s="58"/>
      <x:c r="H127" s="59" t="n">
        <x:f>IF(L127="Primary",IFERROR(F127/SUMIFS($F$4:$F$146,$B$4:$B$146,B127,$C$4:$C$146,C127,$L$4:$L$146,"Primary"),""),"")</x:f>
        <x:v>0.42931086923461304</x:v>
      </x:c>
      <x:c r="I127" s="16" t="str">
        <x:v>Official standardized</x:v>
      </x:c>
      <x:c r="J127" s="16" t="str">
        <x:v>https://www.education.gov.au/download/19832/finance-2024-financial-reports-higher-education-providers/43010/2024-higher-education-providers-finance-tables/csv</x:v>
      </x:c>
      <x:c r="K127" s="16" t="str"/>
      <x:c r="L127" s="16" t="str">
        <x:v>Primary</x:v>
      </x:c>
    </x:row>
    <x:row r="128">
      <x:c r="A128" s="16" t="n">
        <x:v>77</x:v>
      </x:c>
      <x:c r="B128" s="16" t="str">
        <x:v>The University of Western Australia</x:v>
      </x:c>
      <x:c r="C128" s="16" t="str">
        <x:v>FY2024</x:v>
      </x:c>
      <x:c r="D128" s="16" t="str">
        <x:v>AUD</x:v>
      </x:c>
      <x:c r="E128" s="16" t="str">
        <x:v>Consultancy &amp; contracts</x:v>
      </x:c>
      <x:c r="F128" s="48" t="n">
        <x:v>95.808</x:v>
      </x:c>
      <x:c r="G128" s="58"/>
      <x:c r="H128" s="59" t="n">
        <x:f>IF(L128="Primary",IFERROR(F128/SUMIFS($F$4:$F$146,$B$4:$B$146,B128,$C$4:$C$146,C128,$L$4:$L$146,"Primary"),""),"")</x:f>
        <x:v>0.07433822776324243</x:v>
      </x:c>
      <x:c r="I128" s="16" t="str">
        <x:v>Official standardized</x:v>
      </x:c>
      <x:c r="J128" s="16" t="str">
        <x:v>https://www.education.gov.au/download/19832/finance-2024-financial-reports-higher-education-providers/43010/2024-higher-education-providers-finance-tables/csv</x:v>
      </x:c>
      <x:c r="K128" s="16" t="str"/>
      <x:c r="L128" s="16" t="str">
        <x:v>Primary</x:v>
      </x:c>
    </x:row>
    <x:row r="129">
      <x:c r="A129" s="16" t="n">
        <x:v>77</x:v>
      </x:c>
      <x:c r="B129" s="16" t="str">
        <x:v>The University of Western Australia</x:v>
      </x:c>
      <x:c r="C129" s="16" t="str">
        <x:v>FY2024</x:v>
      </x:c>
      <x:c r="D129" s="16" t="str">
        <x:v>AUD</x:v>
      </x:c>
      <x:c r="E129" s="16" t="str">
        <x:v>Fees &amp; charges</x:v>
      </x:c>
      <x:c r="F129" s="48" t="n">
        <x:v>321.412</x:v>
      </x:c>
      <x:c r="G129" s="58"/>
      <x:c r="H129" s="59" t="n">
        <x:f>IF(L129="Primary",IFERROR(F129/SUMIFS($F$4:$F$146,$B$4:$B$146,B129,$C$4:$C$146,C129,$L$4:$L$146,"Primary"),""),"")</x:f>
        <x:v>0.2493862564904734</x:v>
      </x:c>
      <x:c r="I129" s="16" t="str">
        <x:v>Official standardized</x:v>
      </x:c>
      <x:c r="J129" s="16" t="str">
        <x:v>https://www.education.gov.au/download/19832/finance-2024-financial-reports-higher-education-providers/43010/2024-higher-education-providers-finance-tables/csv</x:v>
      </x:c>
      <x:c r="K129" s="16" t="str"/>
      <x:c r="L129" s="16" t="str">
        <x:v>Primary</x:v>
      </x:c>
    </x:row>
    <x:row r="130">
      <x:c r="A130" s="16" t="n">
        <x:v>77</x:v>
      </x:c>
      <x:c r="B130" s="16" t="str">
        <x:v>The University of Western Australia</x:v>
      </x:c>
      <x:c r="C130" s="16" t="str">
        <x:v>FY2024</x:v>
      </x:c>
      <x:c r="D130" s="16" t="str">
        <x:v>AUD</x:v>
      </x:c>
      <x:c r="E130" s="16" t="str">
        <x:v>International students (subset of fees)</x:v>
      </x:c>
      <x:c r="F130" s="48" t="n">
        <x:v>266.964</x:v>
      </x:c>
      <x:c r="G130" s="58"/>
      <x:c r="H130" s="59" t="str">
        <x:f>IF(L130="Primary",IFERROR(F130/SUMIFS($F$4:$F$146,$B$4:$B$146,B130,$C$4:$C$146,C130,$L$4:$L$146,"Primary"),""),"")</x:f>
      </x:c>
      <x:c r="I130" s="16" t="str">
        <x:v>Supplemental subset - do not sum</x:v>
      </x:c>
      <x:c r="J130" s="16" t="str">
        <x:v>https://www.education.gov.au/download/19832/finance-2024-financial-reports-higher-education-providers/43010/2024-higher-education-providers-finance-tables/csv</x:v>
      </x:c>
      <x:c r="K130" s="16" t="str">
        <x:v>Subset of Fees &amp; Charges; used for dependency ratio.</x:v>
      </x:c>
      <x:c r="L130" s="16" t="str">
        <x:v>Supplemental</x:v>
      </x:c>
    </x:row>
    <x:row r="131">
      <x:c r="A131" s="16" t="n">
        <x:v>77</x:v>
      </x:c>
      <x:c r="B131" s="16" t="str">
        <x:v>The University of Western Australia</x:v>
      </x:c>
      <x:c r="C131" s="16" t="str">
        <x:v>FY2024</x:v>
      </x:c>
      <x:c r="D131" s="16" t="str">
        <x:v>AUD</x:v>
      </x:c>
      <x:c r="E131" s="16" t="str">
        <x:v>Investment income</x:v>
      </x:c>
      <x:c r="F131" s="48" t="n">
        <x:v>134.464</x:v>
      </x:c>
      <x:c r="G131" s="58"/>
      <x:c r="H131" s="59" t="n">
        <x:f>IF(L131="Primary",IFERROR(F131/SUMIFS($F$4:$F$146,$B$4:$B$146,B131,$C$4:$C$146,C131,$L$4:$L$146,"Primary"),""),"")</x:f>
        <x:v>0.10433174116938701</x:v>
      </x:c>
      <x:c r="I131" s="16" t="str">
        <x:v>Official standardized</x:v>
      </x:c>
      <x:c r="J131" s="16" t="str">
        <x:v>https://www.education.gov.au/download/19832/finance-2024-financial-reports-higher-education-providers/43010/2024-higher-education-providers-finance-tables/csv</x:v>
      </x:c>
      <x:c r="K131" s="16" t="str"/>
      <x:c r="L131" s="16" t="str">
        <x:v>Primary</x:v>
      </x:c>
    </x:row>
    <x:row r="132">
      <x:c r="A132" s="16" t="n">
        <x:v>77</x:v>
      </x:c>
      <x:c r="B132" s="16" t="str">
        <x:v>The University of Western Australia</x:v>
      </x:c>
      <x:c r="C132" s="16" t="str">
        <x:v>FY2024</x:v>
      </x:c>
      <x:c r="D132" s="16" t="str">
        <x:v>AUD</x:v>
      </x:c>
      <x:c r="E132" s="16" t="str">
        <x:v>Other income</x:v>
      </x:c>
      <x:c r="F132" s="48" t="n">
        <x:v>91.032</x:v>
      </x:c>
      <x:c r="G132" s="58"/>
      <x:c r="H132" s="59" t="n">
        <x:f>IF(L132="Primary",IFERROR(F132/SUMIFS($F$4:$F$146,$B$4:$B$146,B132,$C$4:$C$146,C132,$L$4:$L$146,"Primary"),""),"")</x:f>
        <x:v>0.07063248945540544</x:v>
      </x:c>
      <x:c r="I132" s="16" t="str">
        <x:v>Official standardized</x:v>
      </x:c>
      <x:c r="J132" s="16" t="str">
        <x:v>https://www.education.gov.au/download/19832/finance-2024-financial-reports-higher-education-providers/43010/2024-higher-education-providers-finance-tables/csv</x:v>
      </x:c>
      <x:c r="K132" s="16" t="str"/>
      <x:c r="L132" s="16" t="str">
        <x:v>Primary</x:v>
      </x:c>
    </x:row>
    <x:row r="133">
      <x:c r="A133" s="16" t="n">
        <x:v>77</x:v>
      </x:c>
      <x:c r="B133" s="16" t="str">
        <x:v>The University of Western Australia</x:v>
      </x:c>
      <x:c r="C133" s="16" t="str">
        <x:v>FY2024</x:v>
      </x:c>
      <x:c r="D133" s="16" t="str">
        <x:v>AUD</x:v>
      </x:c>
      <x:c r="E133" s="16" t="str">
        <x:v>Royalties/trademarks/licenses</x:v>
      </x:c>
      <x:c r="F133" s="48" t="n">
        <x:v>21.732</x:v>
      </x:c>
      <x:c r="G133" s="58"/>
      <x:c r="H133" s="59" t="n">
        <x:f>IF(L133="Primary",IFERROR(F133/SUMIFS($F$4:$F$146,$B$4:$B$146,B133,$C$4:$C$146,C133,$L$4:$L$146,"Primary"),""),"")</x:f>
        <x:v>0.016862040390685375</x:v>
      </x:c>
      <x:c r="I133" s="16" t="str">
        <x:v>Official standardized</x:v>
      </x:c>
      <x:c r="J133" s="16" t="str">
        <x:v>https://www.education.gov.au/download/19832/finance-2024-financial-reports-higher-education-providers/43010/2024-higher-education-providers-finance-tables/csv</x:v>
      </x:c>
      <x:c r="K133" s="16" t="str"/>
      <x:c r="L133" s="16" t="str">
        <x:v>Primary</x:v>
      </x:c>
    </x:row>
    <x:row r="134">
      <x:c r="A134" s="16" t="n">
        <x:v>77</x:v>
      </x:c>
      <x:c r="B134" s="16" t="str">
        <x:v>The University of Western Australia</x:v>
      </x:c>
      <x:c r="C134" s="16" t="str">
        <x:v>FY2024</x:v>
      </x:c>
      <x:c r="D134" s="16" t="str">
        <x:v>AUD</x:v>
      </x:c>
      <x:c r="E134" s="16" t="str">
        <x:v>Share of net result</x:v>
      </x:c>
      <x:c r="F134" s="48" t="n">
        <x:v>0</x:v>
      </x:c>
      <x:c r="G134" s="58"/>
      <x:c r="H134" s="59" t="n">
        <x:f>IF(L134="Primary",IFERROR(F134/SUMIFS($F$4:$F$146,$B$4:$B$146,B134,$C$4:$C$146,C134,$L$4:$L$146,"Primary"),""),"")</x:f>
        <x:v>0</x:v>
      </x:c>
      <x:c r="I134" s="16" t="str">
        <x:v>Official standardized</x:v>
      </x:c>
      <x:c r="J134" s="16" t="str">
        <x:v>https://www.education.gov.au/download/19832/finance-2024-financial-reports-higher-education-providers/43010/2024-higher-education-providers-finance-tables/csv</x:v>
      </x:c>
      <x:c r="K134" s="16" t="str"/>
      <x:c r="L134" s="16" t="str">
        <x:v>Primary</x:v>
      </x:c>
    </x:row>
    <x:row r="135">
      <x:c r="A135" s="16" t="n">
        <x:v>77</x:v>
      </x:c>
      <x:c r="B135" s="16" t="str">
        <x:v>The University of Western Australia</x:v>
      </x:c>
      <x:c r="C135" s="16" t="str">
        <x:v>FY2024</x:v>
      </x:c>
      <x:c r="D135" s="16" t="str">
        <x:v>AUD</x:v>
      </x:c>
      <x:c r="E135" s="16" t="str">
        <x:v>State &amp; local government</x:v>
      </x:c>
      <x:c r="F135" s="48" t="n">
        <x:v>53.075</x:v>
      </x:c>
      <x:c r="G135" s="58"/>
      <x:c r="H135" s="59" t="n">
        <x:f>IF(L135="Primary",IFERROR(F135/SUMIFS($F$4:$F$146,$B$4:$B$146,B135,$C$4:$C$146,C135,$L$4:$L$146,"Primary"),""),"")</x:f>
        <x:v>0.04118133599004355</x:v>
      </x:c>
      <x:c r="I135" s="16" t="str">
        <x:v>Official standardized</x:v>
      </x:c>
      <x:c r="J135" s="16" t="str">
        <x:v>https://www.education.gov.au/download/19832/finance-2024-financial-reports-higher-education-providers/43010/2024-higher-education-providers-finance-tables/csv</x:v>
      </x:c>
      <x:c r="K135" s="16" t="str"/>
      <x:c r="L135" s="16" t="str">
        <x:v>Primary</x:v>
      </x:c>
    </x:row>
    <x:row r="136">
      <x:c r="A136" s="16" t="n">
        <x:v>77</x:v>
      </x:c>
      <x:c r="B136" s="16" t="str">
        <x:v>The University of Western Australia</x:v>
      </x:c>
      <x:c r="C136" s="16" t="str">
        <x:v>FY2024</x:v>
      </x:c>
      <x:c r="D136" s="16" t="str">
        <x:v>AUD</x:v>
      </x:c>
      <x:c r="E136" s="16" t="str">
        <x:v>Student contributions</x:v>
      </x:c>
      <x:c r="F136" s="48" t="n">
        <x:v>17.988</x:v>
      </x:c>
      <x:c r="G136" s="58"/>
      <x:c r="H136" s="59" t="n">
        <x:f>IF(L136="Primary",IFERROR(F136/SUMIFS($F$4:$F$146,$B$4:$B$146,B136,$C$4:$C$146,C136,$L$4:$L$146,"Primary"),""),"")</x:f>
        <x:v>0.01395703950614985</x:v>
      </x:c>
      <x:c r="I136" s="16" t="str">
        <x:v>Official standardized</x:v>
      </x:c>
      <x:c r="J136" s="16" t="str">
        <x:v>https://www.education.gov.au/download/19832/finance-2024-financial-reports-higher-education-providers/43010/2024-higher-education-providers-finance-tables/csv</x:v>
      </x:c>
      <x:c r="K136" s="16" t="str"/>
      <x:c r="L136" s="16" t="str">
        <x:v>Primary</x:v>
      </x:c>
    </x:row>
    <x:row r="137">
      <x:c r="A137" s="16" t="n">
        <x:v>87</x:v>
      </x:c>
      <x:c r="B137" s="16" t="str">
        <x:v>The University of Technology Sydney (UTS)</x:v>
      </x:c>
      <x:c r="C137" s="16" t="str">
        <x:v>FY2024</x:v>
      </x:c>
      <x:c r="D137" s="16" t="str">
        <x:v>AUD</x:v>
      </x:c>
      <x:c r="E137" s="16" t="str">
        <x:v>Australian Government financial assistance</x:v>
      </x:c>
      <x:c r="F137" s="48" t="n">
        <x:v>656.184</x:v>
      </x:c>
      <x:c r="G137" s="58"/>
      <x:c r="H137" s="59" t="n">
        <x:f>IF(L137="Primary",IFERROR(F137/SUMIFS($F$4:$F$146,$B$4:$B$146,B137,$C$4:$C$146,C137,$L$4:$L$146,"Primary"),""),"")</x:f>
        <x:v>0.49936569421666843</x:v>
      </x:c>
      <x:c r="I137" s="16" t="str">
        <x:v>Official standardized</x:v>
      </x:c>
      <x:c r="J137" s="16" t="str">
        <x:v>https://www.education.gov.au/download/19832/finance-2024-financial-reports-higher-education-providers/43010/2024-higher-education-providers-finance-tables/csv</x:v>
      </x:c>
      <x:c r="K137" s="16" t="str"/>
      <x:c r="L137" s="16" t="str">
        <x:v>Primary</x:v>
      </x:c>
    </x:row>
    <x:row r="138">
      <x:c r="A138" s="16" t="n">
        <x:v>87</x:v>
      </x:c>
      <x:c r="B138" s="16" t="str">
        <x:v>The University of Technology Sydney (UTS)</x:v>
      </x:c>
      <x:c r="C138" s="16" t="str">
        <x:v>FY2024</x:v>
      </x:c>
      <x:c r="D138" s="16" t="str">
        <x:v>AUD</x:v>
      </x:c>
      <x:c r="E138" s="16" t="str">
        <x:v>Consultancy &amp; contracts</x:v>
      </x:c>
      <x:c r="F138" s="48" t="n">
        <x:v>59.062</x:v>
      </x:c>
      <x:c r="G138" s="58"/>
      <x:c r="H138" s="59" t="n">
        <x:f>IF(L138="Primary",IFERROR(F138/SUMIFS($F$4:$F$146,$B$4:$B$146,B138,$C$4:$C$146,C138,$L$4:$L$146,"Primary"),""),"")</x:f>
        <x:v>0.044947052399669715</x:v>
      </x:c>
      <x:c r="I138" s="16" t="str">
        <x:v>Official standardized</x:v>
      </x:c>
      <x:c r="J138" s="16" t="str">
        <x:v>https://www.education.gov.au/download/19832/finance-2024-financial-reports-higher-education-providers/43010/2024-higher-education-providers-finance-tables/csv</x:v>
      </x:c>
      <x:c r="K138" s="16" t="str"/>
      <x:c r="L138" s="16" t="str">
        <x:v>Primary</x:v>
      </x:c>
    </x:row>
    <x:row r="139">
      <x:c r="A139" s="16" t="n">
        <x:v>87</x:v>
      </x:c>
      <x:c r="B139" s="16" t="str">
        <x:v>The University of Technology Sydney (UTS)</x:v>
      </x:c>
      <x:c r="C139" s="16" t="str">
        <x:v>FY2024</x:v>
      </x:c>
      <x:c r="D139" s="16" t="str">
        <x:v>AUD</x:v>
      </x:c>
      <x:c r="E139" s="16" t="str">
        <x:v>Fees &amp; charges</x:v>
      </x:c>
      <x:c r="F139" s="48" t="n">
        <x:v>490.958</x:v>
      </x:c>
      <x:c r="G139" s="58"/>
      <x:c r="H139" s="59" t="n">
        <x:f>IF(L139="Primary",IFERROR(F139/SUMIFS($F$4:$F$146,$B$4:$B$146,B139,$C$4:$C$146,C139,$L$4:$L$146,"Primary"),""),"")</x:f>
        <x:v>0.3736262732727819</x:v>
      </x:c>
      <x:c r="I139" s="16" t="str">
        <x:v>Official standardized</x:v>
      </x:c>
      <x:c r="J139" s="16" t="str">
        <x:v>https://www.education.gov.au/download/19832/finance-2024-financial-reports-higher-education-providers/43010/2024-higher-education-providers-finance-tables/csv</x:v>
      </x:c>
      <x:c r="K139" s="16" t="str"/>
      <x:c r="L139" s="16" t="str">
        <x:v>Primary</x:v>
      </x:c>
    </x:row>
    <x:row r="140">
      <x:c r="A140" s="16" t="n">
        <x:v>87</x:v>
      </x:c>
      <x:c r="B140" s="16" t="str">
        <x:v>The University of Technology Sydney (UTS)</x:v>
      </x:c>
      <x:c r="C140" s="16" t="str">
        <x:v>FY2024</x:v>
      </x:c>
      <x:c r="D140" s="16" t="str">
        <x:v>AUD</x:v>
      </x:c>
      <x:c r="E140" s="16" t="str">
        <x:v>International students (subset of fees)</x:v>
      </x:c>
      <x:c r="F140" s="48" t="n">
        <x:v>420.596</x:v>
      </x:c>
      <x:c r="G140" s="58"/>
      <x:c r="H140" s="59" t="str">
        <x:f>IF(L140="Primary",IFERROR(F140/SUMIFS($F$4:$F$146,$B$4:$B$146,B140,$C$4:$C$146,C140,$L$4:$L$146,"Primary"),""),"")</x:f>
      </x:c>
      <x:c r="I140" s="16" t="str">
        <x:v>Supplemental subset - do not sum</x:v>
      </x:c>
      <x:c r="J140" s="16" t="str">
        <x:v>https://www.education.gov.au/download/19832/finance-2024-financial-reports-higher-education-providers/43010/2024-higher-education-providers-finance-tables/csv</x:v>
      </x:c>
      <x:c r="K140" s="16" t="str">
        <x:v>Subset of Fees &amp; Charges; used for dependency ratio.</x:v>
      </x:c>
      <x:c r="L140" s="16" t="str">
        <x:v>Supplemental</x:v>
      </x:c>
    </x:row>
    <x:row r="141">
      <x:c r="A141" s="16" t="n">
        <x:v>87</x:v>
      </x:c>
      <x:c r="B141" s="16" t="str">
        <x:v>The University of Technology Sydney (UTS)</x:v>
      </x:c>
      <x:c r="C141" s="16" t="str">
        <x:v>FY2024</x:v>
      </x:c>
      <x:c r="D141" s="16" t="str">
        <x:v>AUD</x:v>
      </x:c>
      <x:c r="E141" s="16" t="str">
        <x:v>Investment income</x:v>
      </x:c>
      <x:c r="F141" s="48" t="n">
        <x:v>19.314</x:v>
      </x:c>
      <x:c r="G141" s="58"/>
      <x:c r="H141" s="59" t="n">
        <x:f>IF(L141="Primary",IFERROR(F141/SUMIFS($F$4:$F$146,$B$4:$B$146,B141,$C$4:$C$146,C141,$L$4:$L$146,"Primary"),""),"")</x:f>
        <x:v>0.014698238631391096</x:v>
      </x:c>
      <x:c r="I141" s="16" t="str">
        <x:v>Official standardized</x:v>
      </x:c>
      <x:c r="J141" s="16" t="str">
        <x:v>https://www.education.gov.au/download/19832/finance-2024-financial-reports-higher-education-providers/43010/2024-higher-education-providers-finance-tables/csv</x:v>
      </x:c>
      <x:c r="K141" s="16" t="str"/>
      <x:c r="L141" s="16" t="str">
        <x:v>Primary</x:v>
      </x:c>
    </x:row>
    <x:row r="142">
      <x:c r="A142" s="16" t="n">
        <x:v>87</x:v>
      </x:c>
      <x:c r="B142" s="16" t="str">
        <x:v>The University of Technology Sydney (UTS)</x:v>
      </x:c>
      <x:c r="C142" s="16" t="str">
        <x:v>FY2024</x:v>
      </x:c>
      <x:c r="D142" s="16" t="str">
        <x:v>AUD</x:v>
      </x:c>
      <x:c r="E142" s="16" t="str">
        <x:v>Other income</x:v>
      </x:c>
      <x:c r="F142" s="48" t="n">
        <x:v>50.243</x:v>
      </x:c>
      <x:c r="G142" s="58"/>
      <x:c r="H142" s="59" t="n">
        <x:f>IF(L142="Primary",IFERROR(F142/SUMIFS($F$4:$F$146,$B$4:$B$146,B142,$C$4:$C$146,C142,$L$4:$L$146,"Primary"),""),"")</x:f>
        <x:v>0.03823566343362239</x:v>
      </x:c>
      <x:c r="I142" s="16" t="str">
        <x:v>Official standardized</x:v>
      </x:c>
      <x:c r="J142" s="16" t="str">
        <x:v>https://www.education.gov.au/download/19832/finance-2024-financial-reports-higher-education-providers/43010/2024-higher-education-providers-finance-tables/csv</x:v>
      </x:c>
      <x:c r="K142" s="16" t="str"/>
      <x:c r="L142" s="16" t="str">
        <x:v>Primary</x:v>
      </x:c>
    </x:row>
    <x:row r="143">
      <x:c r="A143" s="16" t="n">
        <x:v>87</x:v>
      </x:c>
      <x:c r="B143" s="16" t="str">
        <x:v>The University of Technology Sydney (UTS)</x:v>
      </x:c>
      <x:c r="C143" s="16" t="str">
        <x:v>FY2024</x:v>
      </x:c>
      <x:c r="D143" s="16" t="str">
        <x:v>AUD</x:v>
      </x:c>
      <x:c r="E143" s="16" t="str">
        <x:v>Royalties/trademarks/licenses</x:v>
      </x:c>
      <x:c r="F143" s="48" t="n">
        <x:v>0.018</x:v>
      </x:c>
      <x:c r="G143" s="58"/>
      <x:c r="H143" s="59" t="n">
        <x:f>IF(L143="Primary",IFERROR(F143/SUMIFS($F$4:$F$146,$B$4:$B$146,B143,$C$4:$C$146,C143,$L$4:$L$146,"Primary"),""),"")</x:f>
        <x:v>0.000013698265266906892</x:v>
      </x:c>
      <x:c r="I143" s="16" t="str">
        <x:v>Official standardized</x:v>
      </x:c>
      <x:c r="J143" s="16" t="str">
        <x:v>https://www.education.gov.au/download/19832/finance-2024-financial-reports-higher-education-providers/43010/2024-higher-education-providers-finance-tables/csv</x:v>
      </x:c>
      <x:c r="K143" s="16" t="str"/>
      <x:c r="L143" s="16" t="str">
        <x:v>Primary</x:v>
      </x:c>
    </x:row>
    <x:row r="144">
      <x:c r="A144" s="16" t="n">
        <x:v>87</x:v>
      </x:c>
      <x:c r="B144" s="16" t="str">
        <x:v>The University of Technology Sydney (UTS)</x:v>
      </x:c>
      <x:c r="C144" s="16" t="str">
        <x:v>FY2024</x:v>
      </x:c>
      <x:c r="D144" s="16" t="str">
        <x:v>AUD</x:v>
      </x:c>
      <x:c r="E144" s="16" t="str">
        <x:v>Share of net result</x:v>
      </x:c>
      <x:c r="F144" s="48" t="n">
        <x:v>0</x:v>
      </x:c>
      <x:c r="G144" s="58"/>
      <x:c r="H144" s="59" t="n">
        <x:f>IF(L144="Primary",IFERROR(F144/SUMIFS($F$4:$F$146,$B$4:$B$146,B144,$C$4:$C$146,C144,$L$4:$L$146,"Primary"),""),"")</x:f>
        <x:v>0</x:v>
      </x:c>
      <x:c r="I144" s="16" t="str">
        <x:v>Official standardized</x:v>
      </x:c>
      <x:c r="J144" s="16" t="str">
        <x:v>https://www.education.gov.au/download/19832/finance-2024-financial-reports-higher-education-providers/43010/2024-higher-education-providers-finance-tables/csv</x:v>
      </x:c>
      <x:c r="K144" s="16" t="str"/>
      <x:c r="L144" s="16" t="str">
        <x:v>Primary</x:v>
      </x:c>
    </x:row>
    <x:row r="145">
      <x:c r="A145" s="16" t="n">
        <x:v>87</x:v>
      </x:c>
      <x:c r="B145" s="16" t="str">
        <x:v>The University of Technology Sydney (UTS)</x:v>
      </x:c>
      <x:c r="C145" s="16" t="str">
        <x:v>FY2024</x:v>
      </x:c>
      <x:c r="D145" s="16" t="str">
        <x:v>AUD</x:v>
      </x:c>
      <x:c r="E145" s="16" t="str">
        <x:v>State &amp; local government</x:v>
      </x:c>
      <x:c r="F145" s="48" t="n">
        <x:v>7.933</x:v>
      </x:c>
      <x:c r="G145" s="58"/>
      <x:c r="H145" s="59" t="n">
        <x:f>IF(L145="Primary",IFERROR(F145/SUMIFS($F$4:$F$146,$B$4:$B$146,B145,$C$4:$C$146,C145,$L$4:$L$146,"Primary"),""),"")</x:f>
        <x:v>0.006037129909020687</x:v>
      </x:c>
      <x:c r="I145" s="16" t="str">
        <x:v>Official standardized</x:v>
      </x:c>
      <x:c r="J145" s="16" t="str">
        <x:v>https://www.education.gov.au/download/19832/finance-2024-financial-reports-higher-education-providers/43010/2024-higher-education-providers-finance-tables/csv</x:v>
      </x:c>
      <x:c r="K145" s="16" t="str"/>
      <x:c r="L145" s="16" t="str">
        <x:v>Primary</x:v>
      </x:c>
    </x:row>
    <x:row r="146">
      <x:c r="A146" s="16" t="n">
        <x:v>87</x:v>
      </x:c>
      <x:c r="B146" s="16" t="str">
        <x:v>The University of Technology Sydney (UTS)</x:v>
      </x:c>
      <x:c r="C146" s="16" t="str">
        <x:v>FY2024</x:v>
      </x:c>
      <x:c r="D146" s="16" t="str">
        <x:v>AUD</x:v>
      </x:c>
      <x:c r="E146" s="16" t="str">
        <x:v>Student contributions</x:v>
      </x:c>
      <x:c r="F146" s="48" t="n">
        <x:v>30.323</x:v>
      </x:c>
      <x:c r="G146" s="58"/>
      <x:c r="H146" s="59" t="n">
        <x:f>IF(L146="Primary",IFERROR(F146/SUMIFS($F$4:$F$146,$B$4:$B$146,B146,$C$4:$C$146,C146,$L$4:$L$146,"Primary"),""),"")</x:f>
        <x:v>0.02307624987157876</x:v>
      </x:c>
      <x:c r="I146" s="16" t="str">
        <x:v>Official standardized</x:v>
      </x:c>
      <x:c r="J146" s="16" t="str">
        <x:v>https://www.education.gov.au/download/19832/finance-2024-financial-reports-higher-education-providers/43010/2024-higher-education-providers-finance-tables/csv</x:v>
      </x:c>
      <x:c r="K146" s="16" t="str"/>
      <x:c r="L146" s="16" t="str">
        <x:v>Primary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9" hidden="0" customWidth="1"/>
    <x:col min="5" max="5" width="42" hidden="0" customWidth="1"/>
    <x:col min="6" max="6" width="14" hidden="0" customWidth="1"/>
    <x:col min="7" max="7" width="12" hidden="0" customWidth="1"/>
    <x:col min="8" max="8" width="15" hidden="0" customWidth="1"/>
    <x:col min="9" max="9" width="30" hidden="0" customWidth="1"/>
    <x:col min="10" max="10" width="45" hidden="0" customWidth="1"/>
    <x:col min="11" max="11" width="55" hidden="0" customWidth="1"/>
    <x:col min="12" max="12" width="14" hidden="0" customWidth="1"/>
  </x:cols>
  <x:sheetData>
    <x:row r="1" ht="28" customHeight="1">
      <x:c r="A1" s="5" t="str">
        <x:v>Expense Mix - Detailed Verified Lines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31" t="str">
        <x:v>QS Rank</x:v>
      </x:c>
      <x:c r="B3" s="31" t="str">
        <x:v>Institution</x:v>
      </x:c>
      <x:c r="C3" s="31" t="str">
        <x:v>FY</x:v>
      </x:c>
      <x:c r="D3" s="31" t="str">
        <x:v>Currency</x:v>
      </x:c>
      <x:c r="E3" s="31" t="str">
        <x:v>Category</x:v>
      </x:c>
      <x:c r="F3" s="31" t="str">
        <x:v>Amount</x:v>
      </x:c>
      <x:c r="G3" s="31" t="str">
        <x:v>Published %</x:v>
      </x:c>
      <x:c r="H3" s="31" t="str">
        <x:v>Calculated % of primary mix</x:v>
      </x:c>
      <x:c r="I3" s="31" t="str">
        <x:v>Basis</x:v>
      </x:c>
      <x:c r="J3" s="31" t="str">
        <x:v>Source</x:v>
      </x:c>
      <x:c r="K3" s="31" t="str">
        <x:v>Note</x:v>
      </x:c>
      <x:c r="L3" s="31" t="str">
        <x:v>Mix eligibility</x:v>
      </x:c>
    </x:row>
    <x:row r="4">
      <x:c r="A4" s="16" t="n">
        <x:v>1</x:v>
      </x:c>
      <x:c r="B4" s="16" t="str">
        <x:v>Massachusetts Institute of Technology (MIT)</x:v>
      </x:c>
      <x:c r="C4" s="16" t="str">
        <x:v>FY2025</x:v>
      </x:c>
      <x:c r="D4" s="16" t="str">
        <x:v>USD</x:v>
      </x:c>
      <x:c r="E4" s="16" t="str">
        <x:v>General/admin incl auxiliary</x:v>
      </x:c>
      <x:c r="F4" s="48" t="n">
        <x:v>1243.2</x:v>
      </x:c>
      <x:c r="G4" s="58" t="n">
        <x:v>0.24</x:v>
      </x:c>
      <x:c r="H4" s="59" t="n">
        <x:f>IF(L4="Primary",IFERROR(F4/SUMIFS($F$4:$F$102,$B$4:$B$102,B4,$C$4:$C$102,C4,$L$4:$L$102,"Primary"),""),"")</x:f>
        <x:v>0.24294536074415693</x:v>
      </x:c>
      <x:c r="I4" s="16" t="str">
        <x:v>Reported</x:v>
      </x:c>
      <x:c r="J4" s="16" t="str">
        <x:v>https://facts.mit.edu/operating-financials/</x:v>
      </x:c>
      <x:c r="K4" s="16" t="str"/>
      <x:c r="L4" s="16" t="str">
        <x:v>Primary</x:v>
      </x:c>
    </x:row>
    <x:row r="5">
      <x:c r="A5" s="16" t="n">
        <x:v>1</x:v>
      </x:c>
      <x:c r="B5" s="16" t="str">
        <x:v>Massachusetts Institute of Technology (MIT)</x:v>
      </x:c>
      <x:c r="C5" s="16" t="str">
        <x:v>FY2025</x:v>
      </x:c>
      <x:c r="D5" s="16" t="str">
        <x:v>USD</x:v>
      </x:c>
      <x:c r="E5" s="16" t="str">
        <x:v>Instruction &amp; unsponsored research</x:v>
      </x:c>
      <x:c r="F5" s="48" t="n">
        <x:v>1668.2</x:v>
      </x:c>
      <x:c r="G5" s="58" t="n">
        <x:v>0.33</x:v>
      </x:c>
      <x:c r="H5" s="59" t="n">
        <x:f>IF(L5="Primary",IFERROR(F5/SUMIFS($F$4:$F$102,$B$4:$B$102,B5,$C$4:$C$102,C5,$L$4:$L$102,"Primary"),""),"")</x:f>
        <x:v>0.3259985929805362</x:v>
      </x:c>
      <x:c r="I5" s="16" t="str">
        <x:v>Reported</x:v>
      </x:c>
      <x:c r="J5" s="16" t="str">
        <x:v>https://facts.mit.edu/operating-financials/</x:v>
      </x:c>
      <x:c r="K5" s="16" t="str"/>
      <x:c r="L5" s="16" t="str">
        <x:v>Primary</x:v>
      </x:c>
    </x:row>
    <x:row r="6">
      <x:c r="A6" s="16" t="n">
        <x:v>1</x:v>
      </x:c>
      <x:c r="B6" s="16" t="str">
        <x:v>Massachusetts Institute of Technology (MIT)</x:v>
      </x:c>
      <x:c r="C6" s="16" t="str">
        <x:v>FY2025</x:v>
      </x:c>
      <x:c r="D6" s="16" t="str">
        <x:v>USD</x:v>
      </x:c>
      <x:c r="E6" s="16" t="str">
        <x:v>Sponsored research</x:v>
      </x:c>
      <x:c r="F6" s="48" t="n">
        <x:v>2205.8</x:v>
      </x:c>
      <x:c r="G6" s="58" t="n">
        <x:v>0.43</x:v>
      </x:c>
      <x:c r="H6" s="59" t="n">
        <x:f>IF(L6="Primary",IFERROR(F6/SUMIFS($F$4:$F$102,$B$4:$B$102,B6,$C$4:$C$102,C6,$L$4:$L$102,"Primary"),""),"")</x:f>
        <x:v>0.4310560462753068</x:v>
      </x:c>
      <x:c r="I6" s="16" t="str">
        <x:v>Reported</x:v>
      </x:c>
      <x:c r="J6" s="16" t="str">
        <x:v>https://facts.mit.edu/operating-financials/</x:v>
      </x:c>
      <x:c r="K6" s="16" t="str"/>
      <x:c r="L6" s="16" t="str">
        <x:v>Primary</x:v>
      </x:c>
    </x:row>
    <x:row r="7">
      <x:c r="A7" s="16" t="n">
        <x:v>2</x:v>
      </x:c>
      <x:c r="B7" s="16" t="str">
        <x:v>Stanford University</x:v>
      </x:c>
      <x:c r="C7" s="16" t="str">
        <x:v>FY2025</x:v>
      </x:c>
      <x:c r="D7" s="16" t="str">
        <x:v>USD</x:v>
      </x:c>
      <x:c r="E7" s="16" t="str">
        <x:v>Depreciation</x:v>
      </x:c>
      <x:c r="F7" s="48" t="n">
        <x:v>930.917</x:v>
      </x:c>
      <x:c r="G7" s="58"/>
      <x:c r="H7" s="59" t="n">
        <x:f>IF(L7="Primary",IFERROR(F7/SUMIFS($F$4:$F$102,$B$4:$B$102,B7,$C$4:$C$102,C7,$L$4:$L$102,"Primary"),""),"")</x:f>
        <x:v>0.04916266302031318</x:v>
      </x:c>
      <x:c r="I7" s="16" t="str">
        <x:v>Reported</x:v>
      </x:c>
      <x:c r="J7" s="16" t="str">
        <x:v>https://bondholder-information.stanford.edu/sites/g/files/sbiybj21416/files/media/file/fy25-annual-financial-report.pdf</x:v>
      </x:c>
      <x:c r="K7" s="16" t="str"/>
      <x:c r="L7" s="16" t="str">
        <x:v>Primary</x:v>
      </x:c>
    </x:row>
    <x:row r="8">
      <x:c r="A8" s="16" t="n">
        <x:v>2</x:v>
      </x:c>
      <x:c r="B8" s="16" t="str">
        <x:v>Stanford University</x:v>
      </x:c>
      <x:c r="C8" s="16" t="str">
        <x:v>FY2025</x:v>
      </x:c>
      <x:c r="D8" s="16" t="str">
        <x:v>USD</x:v>
      </x:c>
      <x:c r="E8" s="16" t="str">
        <x:v>Other operating expenses</x:v>
      </x:c>
      <x:c r="F8" s="48" t="n">
        <x:v>6357.485</x:v>
      </x:c>
      <x:c r="G8" s="58"/>
      <x:c r="H8" s="59" t="n">
        <x:f>IF(L8="Primary",IFERROR(F8/SUMIFS($F$4:$F$102,$B$4:$B$102,B8,$C$4:$C$102,C8,$L$4:$L$102,"Primary"),""),"")</x:f>
        <x:v>0.335745176757644</x:v>
      </x:c>
      <x:c r="I8" s="16" t="str">
        <x:v>Reported</x:v>
      </x:c>
      <x:c r="J8" s="16" t="str">
        <x:v>https://bondholder-information.stanford.edu/sites/g/files/sbiybj21416/files/media/file/fy25-annual-financial-report.pdf</x:v>
      </x:c>
      <x:c r="K8" s="16" t="str"/>
      <x:c r="L8" s="16" t="str">
        <x:v>Primary</x:v>
      </x:c>
    </x:row>
    <x:row r="9">
      <x:c r="A9" s="16" t="n">
        <x:v>2</x:v>
      </x:c>
      <x:c r="B9" s="16" t="str">
        <x:v>Stanford University</x:v>
      </x:c>
      <x:c r="C9" s="16" t="str">
        <x:v>FY2025</x:v>
      </x:c>
      <x:c r="D9" s="16" t="str">
        <x:v>USD</x:v>
      </x:c>
      <x:c r="E9" s="16" t="str">
        <x:v>Salaries &amp; benefits</x:v>
      </x:c>
      <x:c r="F9" s="48" t="n">
        <x:v>11647.045</x:v>
      </x:c>
      <x:c r="G9" s="58"/>
      <x:c r="H9" s="59" t="n">
        <x:f>IF(L9="Primary",IFERROR(F9/SUMIFS($F$4:$F$102,$B$4:$B$102,B9,$C$4:$C$102,C9,$L$4:$L$102,"Primary"),""),"")</x:f>
        <x:v>0.6150921602220428</x:v>
      </x:c>
      <x:c r="I9" s="16" t="str">
        <x:v>Reported</x:v>
      </x:c>
      <x:c r="J9" s="16" t="str">
        <x:v>https://bondholder-information.stanford.edu/sites/g/files/sbiybj21416/files/media/file/fy25-annual-financial-report.pdf</x:v>
      </x:c>
      <x:c r="K9" s="16" t="str"/>
      <x:c r="L9" s="16" t="str">
        <x:v>Primary</x:v>
      </x:c>
    </x:row>
    <x:row r="10">
      <x:c r="A10" s="16" t="n">
        <x:v>5</x:v>
      </x:c>
      <x:c r="B10" s="16" t="str">
        <x:v>Harvard University</x:v>
      </x:c>
      <x:c r="C10" s="16" t="str">
        <x:v>FY2025</x:v>
      </x:c>
      <x:c r="D10" s="16" t="str">
        <x:v>USD</x:v>
      </x:c>
      <x:c r="E10" s="16" t="str">
        <x:v>Other</x:v>
      </x:c>
      <x:c r="F10" s="48" t="n">
        <x:v>2040</x:v>
      </x:c>
      <x:c r="G10" s="58" t="n">
        <x:v>0.3</x:v>
      </x:c>
      <x:c r="H10" s="59" t="n">
        <x:f>IF(L10="Primary",IFERROR(F10/SUMIFS($F$4:$F$102,$B$4:$B$102,B10,$C$4:$C$102,C10,$L$4:$L$102,"Primary"),""),"")</x:f>
        <x:v>0.3</x:v>
      </x:c>
      <x:c r="I10" s="16" t="str">
        <x:v>Derived amount from published share × rounded expense</x:v>
      </x:c>
      <x:c r="J10" s="16" t="str">
        <x:v>https://finance.harvard.edu/financial-overview</x:v>
      </x:c>
      <x:c r="K10" s="16" t="str"/>
      <x:c r="L10" s="16" t="str">
        <x:v>Primary</x:v>
      </x:c>
    </x:row>
    <x:row r="11">
      <x:c r="A11" s="16" t="n">
        <x:v>5</x:v>
      </x:c>
      <x:c r="B11" s="16" t="str">
        <x:v>Harvard University</x:v>
      </x:c>
      <x:c r="C11" s="16" t="str">
        <x:v>FY2025</x:v>
      </x:c>
      <x:c r="D11" s="16" t="str">
        <x:v>USD</x:v>
      </x:c>
      <x:c r="E11" s="16" t="str">
        <x:v>People</x:v>
      </x:c>
      <x:c r="F11" s="48" t="n">
        <x:v>3536</x:v>
      </x:c>
      <x:c r="G11" s="58" t="n">
        <x:v>0.52</x:v>
      </x:c>
      <x:c r="H11" s="59" t="n">
        <x:f>IF(L11="Primary",IFERROR(F11/SUMIFS($F$4:$F$102,$B$4:$B$102,B11,$C$4:$C$102,C11,$L$4:$L$102,"Primary"),""),"")</x:f>
        <x:v>0.52</x:v>
      </x:c>
      <x:c r="I11" s="16" t="str">
        <x:v>Derived amount from published share × rounded expense</x:v>
      </x:c>
      <x:c r="J11" s="16" t="str">
        <x:v>https://finance.harvard.edu/financial-overview</x:v>
      </x:c>
      <x:c r="K11" s="16" t="str"/>
      <x:c r="L11" s="16" t="str">
        <x:v>Primary</x:v>
      </x:c>
    </x:row>
    <x:row r="12">
      <x:c r="A12" s="16" t="n">
        <x:v>5</x:v>
      </x:c>
      <x:c r="B12" s="16" t="str">
        <x:v>Harvard University</x:v>
      </x:c>
      <x:c r="C12" s="16" t="str">
        <x:v>FY2025</x:v>
      </x:c>
      <x:c r="D12" s="16" t="str">
        <x:v>USD</x:v>
      </x:c>
      <x:c r="E12" s="16" t="str">
        <x:v>Space</x:v>
      </x:c>
      <x:c r="F12" s="48" t="n">
        <x:v>1224</x:v>
      </x:c>
      <x:c r="G12" s="58" t="n">
        <x:v>0.18</x:v>
      </x:c>
      <x:c r="H12" s="59" t="n">
        <x:f>IF(L12="Primary",IFERROR(F12/SUMIFS($F$4:$F$102,$B$4:$B$102,B12,$C$4:$C$102,C12,$L$4:$L$102,"Primary"),""),"")</x:f>
        <x:v>0.18</x:v>
      </x:c>
      <x:c r="I12" s="16" t="str">
        <x:v>Derived amount from published share × rounded expense</x:v>
      </x:c>
      <x:c r="J12" s="16" t="str">
        <x:v>https://finance.harvard.edu/financial-overview</x:v>
      </x:c>
      <x:c r="K12" s="16" t="str"/>
      <x:c r="L12" s="16" t="str">
        <x:v>Primary</x:v>
      </x:c>
    </x:row>
    <x:row r="13">
      <x:c r="A13" s="16" t="n">
        <x:v>10</x:v>
      </x:c>
      <x:c r="B13" s="16" t="str">
        <x:v>National University of Singapore (NUS)</x:v>
      </x:c>
      <x:c r="C13" s="16" t="str">
        <x:v>FY2024/25</x:v>
      </x:c>
      <x:c r="D13" s="16" t="str">
        <x:v>SGD</x:v>
      </x:c>
      <x:c r="E13" s="16" t="str">
        <x:v>Depreciation &amp; amortization</x:v>
      </x:c>
      <x:c r="F13" s="48" t="n">
        <x:v>364.899</x:v>
      </x:c>
      <x:c r="G13" s="58"/>
      <x:c r="H13" s="59" t="n">
        <x:f>IF(L13="Primary",IFERROR(F13/SUMIFS($F$4:$F$102,$B$4:$B$102,B13,$C$4:$C$102,C13,$L$4:$L$102,"Primary"),""),"")</x:f>
        <x:v>0.10301456040977831</x:v>
      </x:c>
      <x:c r="I13" s="16" t="str">
        <x:v>Reported</x:v>
      </x:c>
      <x:c r="J13" s="16" t="str">
        <x:v>https://nus.edu.sg/docs/default-source/annual-report/nus-financial-report-2025.pdf</x:v>
      </x:c>
      <x:c r="K13" s="16" t="str"/>
      <x:c r="L13" s="16" t="str">
        <x:v>Primary</x:v>
      </x:c>
    </x:row>
    <x:row r="14">
      <x:c r="A14" s="16" t="n">
        <x:v>10</x:v>
      </x:c>
      <x:c r="B14" s="16" t="str">
        <x:v>National University of Singapore (NUS)</x:v>
      </x:c>
      <x:c r="C14" s="16" t="str">
        <x:v>FY2024/25</x:v>
      </x:c>
      <x:c r="D14" s="16" t="str">
        <x:v>SGD</x:v>
      </x:c>
      <x:c r="E14" s="16" t="str">
        <x:v>Manpower expense</x:v>
      </x:c>
      <x:c r="F14" s="48" t="n">
        <x:v>1812.203</x:v>
      </x:c>
      <x:c r="G14" s="58"/>
      <x:c r="H14" s="59" t="n">
        <x:f>IF(L14="Primary",IFERROR(F14/SUMIFS($F$4:$F$102,$B$4:$B$102,B14,$C$4:$C$102,C14,$L$4:$L$102,"Primary"),""),"")</x:f>
        <x:v>0.5116026500984697</x:v>
      </x:c>
      <x:c r="I14" s="16" t="str">
        <x:v>Reported</x:v>
      </x:c>
      <x:c r="J14" s="16" t="str">
        <x:v>https://nus.edu.sg/docs/default-source/annual-report/nus-financial-report-2025.pdf</x:v>
      </x:c>
      <x:c r="K14" s="16" t="str"/>
      <x:c r="L14" s="16" t="str">
        <x:v>Primary</x:v>
      </x:c>
    </x:row>
    <x:row r="15">
      <x:c r="A15" s="16" t="n">
        <x:v>10</x:v>
      </x:c>
      <x:c r="B15" s="16" t="str">
        <x:v>National University of Singapore (NUS)</x:v>
      </x:c>
      <x:c r="C15" s="16" t="str">
        <x:v>FY2024/25</x:v>
      </x:c>
      <x:c r="D15" s="16" t="str">
        <x:v>SGD</x:v>
      </x:c>
      <x:c r="E15" s="16" t="str">
        <x:v>Other operating expenses</x:v>
      </x:c>
      <x:c r="F15" s="48" t="n">
        <x:v>1365.106</x:v>
      </x:c>
      <x:c r="G15" s="58"/>
      <x:c r="H15" s="59" t="n">
        <x:f>IF(L15="Primary",IFERROR(F15/SUMIFS($F$4:$F$102,$B$4:$B$102,B15,$C$4:$C$102,C15,$L$4:$L$102,"Primary"),""),"")</x:f>
        <x:v>0.3853827894917521</x:v>
      </x:c>
      <x:c r="I15" s="16" t="str">
        <x:v>Reported</x:v>
      </x:c>
      <x:c r="J15" s="16" t="str">
        <x:v>https://nus.edu.sg/docs/default-source/annual-report/nus-financial-report-2025.pdf</x:v>
      </x:c>
      <x:c r="K15" s="16" t="str"/>
      <x:c r="L15" s="16" t="str">
        <x:v>Primary</x:v>
      </x:c>
    </x:row>
    <x:row r="16">
      <x:c r="A16" s="16" t="n">
        <x:v>11</x:v>
      </x:c>
      <x:c r="B16" s="16" t="str">
        <x:v>The University of Hong Kong</x:v>
      </x:c>
      <x:c r="C16" s="16" t="str">
        <x:v>FY2024/25</x:v>
      </x:c>
      <x:c r="D16" s="16" t="str">
        <x:v>HKD</x:v>
      </x:c>
      <x:c r="E16" s="16" t="str">
        <x:v>Central Computing</x:v>
      </x:c>
      <x:c r="F16" s="48" t="n">
        <x:v>271.151</x:v>
      </x:c>
      <x:c r="G16" s="58"/>
      <x:c r="H16" s="59" t="n">
        <x:f>IF(L16="Primary",IFERROR(F16/SUMIFS($F$4:$F$102,$B$4:$B$102,B16,$C$4:$C$102,C16,$L$4:$L$102,"Primary"),""),"")</x:f>
        <x:v>0.01938952296014247</x:v>
      </x:c>
      <x:c r="I16" s="16" t="str">
        <x:v>Reported</x:v>
      </x:c>
      <x:c r="J16" s="16" t="str">
        <x:v>https://annualreport.hku.hk/2025/annual-accounts.html</x:v>
      </x:c>
      <x:c r="K16" s="16" t="str"/>
      <x:c r="L16" s="16" t="str">
        <x:v>Primary</x:v>
      </x:c>
    </x:row>
    <x:row r="17">
      <x:c r="A17" s="16" t="n">
        <x:v>11</x:v>
      </x:c>
      <x:c r="B17" s="16" t="str">
        <x:v>The University of Hong Kong</x:v>
      </x:c>
      <x:c r="C17" s="16" t="str">
        <x:v>FY2024/25</x:v>
      </x:c>
      <x:c r="D17" s="16" t="str">
        <x:v>HKD</x:v>
      </x:c>
      <x:c r="E17" s="16" t="str">
        <x:v>Library</x:v>
      </x:c>
      <x:c r="F17" s="48" t="n">
        <x:v>206.341</x:v>
      </x:c>
      <x:c r="G17" s="58"/>
      <x:c r="H17" s="59" t="n">
        <x:f>IF(L17="Primary",IFERROR(F17/SUMIFS($F$4:$F$102,$B$4:$B$102,B17,$C$4:$C$102,C17,$L$4:$L$102,"Primary"),""),"")</x:f>
        <x:v>0.014755075795843486</x:v>
      </x:c>
      <x:c r="I17" s="16" t="str">
        <x:v>Reported</x:v>
      </x:c>
      <x:c r="J17" s="16" t="str">
        <x:v>https://annualreport.hku.hk/2025/annual-accounts.html</x:v>
      </x:c>
      <x:c r="K17" s="16" t="str"/>
      <x:c r="L17" s="16" t="str">
        <x:v>Primary</x:v>
      </x:c>
    </x:row>
    <x:row r="18">
      <x:c r="A18" s="16" t="n">
        <x:v>11</x:v>
      </x:c>
      <x:c r="B18" s="16" t="str">
        <x:v>The University of Hong Kong</x:v>
      </x:c>
      <x:c r="C18" s="16" t="str">
        <x:v>FY2024/25</x:v>
      </x:c>
      <x:c r="D18" s="16" t="str">
        <x:v>HKD</x:v>
      </x:c>
      <x:c r="E18" s="16" t="str">
        <x:v>Management &amp; General</x:v>
      </x:c>
      <x:c r="F18" s="48" t="n">
        <x:v>750.843</x:v>
      </x:c>
      <x:c r="G18" s="58"/>
      <x:c r="H18" s="59" t="n">
        <x:f>IF(L18="Primary",IFERROR(F18/SUMIFS($F$4:$F$102,$B$4:$B$102,B18,$C$4:$C$102,C18,$L$4:$L$102,"Primary"),""),"")</x:f>
        <x:v>0.05369143978064713</x:v>
      </x:c>
      <x:c r="I18" s="16" t="str">
        <x:v>Reported</x:v>
      </x:c>
      <x:c r="J18" s="16" t="str">
        <x:v>https://annualreport.hku.hk/2025/annual-accounts.html</x:v>
      </x:c>
      <x:c r="K18" s="16" t="str"/>
      <x:c r="L18" s="16" t="str">
        <x:v>Primary</x:v>
      </x:c>
    </x:row>
    <x:row r="19">
      <x:c r="A19" s="16" t="n">
        <x:v>11</x:v>
      </x:c>
      <x:c r="B19" s="16" t="str">
        <x:v>The University of Hong Kong</x:v>
      </x:c>
      <x:c r="C19" s="16" t="str">
        <x:v>FY2024/25</x:v>
      </x:c>
      <x:c r="D19" s="16" t="str">
        <x:v>HKD</x:v>
      </x:c>
      <x:c r="E19" s="16" t="str">
        <x:v>Other Academic Services</x:v>
      </x:c>
      <x:c r="F19" s="48" t="n">
        <x:v>639.376</x:v>
      </x:c>
      <x:c r="G19" s="58"/>
      <x:c r="H19" s="59" t="n">
        <x:f>IF(L19="Primary",IFERROR(F19/SUMIFS($F$4:$F$102,$B$4:$B$102,B19,$C$4:$C$102,C19,$L$4:$L$102,"Primary"),""),"")</x:f>
        <x:v>0.04572063400896198</x:v>
      </x:c>
      <x:c r="I19" s="16" t="str">
        <x:v>Reported</x:v>
      </x:c>
      <x:c r="J19" s="16" t="str">
        <x:v>https://annualreport.hku.hk/2025/annual-accounts.html</x:v>
      </x:c>
      <x:c r="K19" s="16" t="str"/>
      <x:c r="L19" s="16" t="str">
        <x:v>Primary</x:v>
      </x:c>
    </x:row>
    <x:row r="20">
      <x:c r="A20" s="16" t="n">
        <x:v>11</x:v>
      </x:c>
      <x:c r="B20" s="16" t="str">
        <x:v>The University of Hong Kong</x:v>
      </x:c>
      <x:c r="C20" s="16" t="str">
        <x:v>FY2024/25</x:v>
      </x:c>
      <x:c r="D20" s="16" t="str">
        <x:v>HKD</x:v>
      </x:c>
      <x:c r="E20" s="16" t="str">
        <x:v>Other activities</x:v>
      </x:c>
      <x:c r="F20" s="48" t="n">
        <x:v>204.862</x:v>
      </x:c>
      <x:c r="G20" s="58"/>
      <x:c r="H20" s="59" t="n">
        <x:f>IF(L20="Primary",IFERROR(F20/SUMIFS($F$4:$F$102,$B$4:$B$102,B20,$C$4:$C$102,C20,$L$4:$L$102,"Primary"),""),"")</x:f>
        <x:v>0.014649315151560224</x:v>
      </x:c>
      <x:c r="I20" s="16" t="str">
        <x:v>Reported</x:v>
      </x:c>
      <x:c r="J20" s="16" t="str">
        <x:v>https://annualreport.hku.hk/2025/annual-accounts.html</x:v>
      </x:c>
      <x:c r="K20" s="16" t="str"/>
      <x:c r="L20" s="16" t="str">
        <x:v>Primary</x:v>
      </x:c>
    </x:row>
    <x:row r="21">
      <x:c r="A21" s="16" t="n">
        <x:v>11</x:v>
      </x:c>
      <x:c r="B21" s="16" t="str">
        <x:v>The University of Hong Kong</x:v>
      </x:c>
      <x:c r="C21" s="16" t="str">
        <x:v>FY2024/25</x:v>
      </x:c>
      <x:c r="D21" s="16" t="str">
        <x:v>HKD</x:v>
      </x:c>
      <x:c r="E21" s="16" t="str">
        <x:v>Premises</x:v>
      </x:c>
      <x:c r="F21" s="48" t="n">
        <x:v>1679.467</x:v>
      </x:c>
      <x:c r="G21" s="58"/>
      <x:c r="H21" s="59" t="n">
        <x:f>IF(L21="Primary",IFERROR(F21/SUMIFS($F$4:$F$102,$B$4:$B$102,B21,$C$4:$C$102,C21,$L$4:$L$102,"Primary"),""),"")</x:f>
        <x:v>0.12009568084684029</x:v>
      </x:c>
      <x:c r="I21" s="16" t="str">
        <x:v>Reported</x:v>
      </x:c>
      <x:c r="J21" s="16" t="str">
        <x:v>https://annualreport.hku.hk/2025/annual-accounts.html</x:v>
      </x:c>
      <x:c r="K21" s="16" t="str"/>
      <x:c r="L21" s="16" t="str">
        <x:v>Primary</x:v>
      </x:c>
    </x:row>
    <x:row r="22">
      <x:c r="A22" s="16" t="n">
        <x:v>11</x:v>
      </x:c>
      <x:c r="B22" s="16" t="str">
        <x:v>The University of Hong Kong</x:v>
      </x:c>
      <x:c r="C22" s="16" t="str">
        <x:v>FY2024/25</x:v>
      </x:c>
      <x:c r="D22" s="16" t="str">
        <x:v>HKD</x:v>
      </x:c>
      <x:c r="E22" s="16" t="str">
        <x:v>Student/general education services</x:v>
      </x:c>
      <x:c r="F22" s="48" t="n">
        <x:v>781.804</x:v>
      </x:c>
      <x:c r="G22" s="58"/>
      <x:c r="H22" s="59" t="n">
        <x:f>IF(L22="Primary",IFERROR(F22/SUMIFS($F$4:$F$102,$B$4:$B$102,B22,$C$4:$C$102,C22,$L$4:$L$102,"Primary"),""),"")</x:f>
        <x:v>0.055905405505903435</x:v>
      </x:c>
      <x:c r="I22" s="16" t="str">
        <x:v>Reported</x:v>
      </x:c>
      <x:c r="J22" s="16" t="str">
        <x:v>https://annualreport.hku.hk/2025/annual-accounts.html</x:v>
      </x:c>
      <x:c r="K22" s="16" t="str"/>
      <x:c r="L22" s="16" t="str">
        <x:v>Primary</x:v>
      </x:c>
    </x:row>
    <x:row r="23">
      <x:c r="A23" s="16" t="n">
        <x:v>11</x:v>
      </x:c>
      <x:c r="B23" s="16" t="str">
        <x:v>The University of Hong Kong</x:v>
      </x:c>
      <x:c r="C23" s="16" t="str">
        <x:v>FY2024/25</x:v>
      </x:c>
      <x:c r="D23" s="16" t="str">
        <x:v>HKD</x:v>
      </x:c>
      <x:c r="E23" s="16" t="str">
        <x:v>Teaching &amp; Research</x:v>
      </x:c>
      <x:c r="F23" s="48" t="n">
        <x:v>9450.564</x:v>
      </x:c>
      <x:c r="G23" s="58"/>
      <x:c r="H23" s="59" t="n">
        <x:f>IF(L23="Primary",IFERROR(F23/SUMIFS($F$4:$F$102,$B$4:$B$102,B23,$C$4:$C$102,C23,$L$4:$L$102,"Primary"),""),"")</x:f>
        <x:v>0.6757929259501011</x:v>
      </x:c>
      <x:c r="I23" s="16" t="str">
        <x:v>Reported</x:v>
      </x:c>
      <x:c r="J23" s="16" t="str">
        <x:v>https://annualreport.hku.hk/2025/annual-accounts.html</x:v>
      </x:c>
      <x:c r="K23" s="16" t="str"/>
      <x:c r="L23" s="16" t="str">
        <x:v>Primary</x:v>
      </x:c>
    </x:row>
    <x:row r="24">
      <x:c r="A24" s="16" t="n">
        <x:v>13</x:v>
      </x:c>
      <x:c r="B24" s="16" t="str">
        <x:v>Peking University</x:v>
      </x:c>
      <x:c r="C24" s="16" t="str">
        <x:v>FY2025 final accounts</x:v>
      </x:c>
      <x:c r="D24" s="16" t="str">
        <x:v>CNY</x:v>
      </x:c>
      <x:c r="E24" s="16" t="str">
        <x:v>Education</x:v>
      </x:c>
      <x:c r="F24" s="48" t="n">
        <x:v>17091.2141</x:v>
      </x:c>
      <x:c r="G24" s="58"/>
      <x:c r="H24" s="59" t="n">
        <x:f>IF(L24="Primary",IFERROR(F24/SUMIFS($F$4:$F$102,$B$4:$B$102,B24,$C$4:$C$102,C24,$L$4:$L$102,"Primary"),""),"")</x:f>
        <x:v>0.9327152575449912</x:v>
      </x:c>
      <x:c r="I24" s="16" t="str">
        <x:v>Reported budgetary function</x:v>
      </x:c>
      <x:c r="J24" s="16" t="str">
        <x:v>https://xxgk.pku.edu.cn/docs/2026-08/a370fd617ccb405e84dc53cb726502e2.pdf</x:v>
      </x:c>
      <x:c r="K24" s="16" t="str"/>
      <x:c r="L24" s="16" t="str">
        <x:v>Primary</x:v>
      </x:c>
    </x:row>
    <x:row r="25">
      <x:c r="A25" s="16" t="n">
        <x:v>13</x:v>
      </x:c>
      <x:c r="B25" s="16" t="str">
        <x:v>Peking University</x:v>
      </x:c>
      <x:c r="C25" s="16" t="str">
        <x:v>FY2025 final accounts</x:v>
      </x:c>
      <x:c r="D25" s="16" t="str">
        <x:v>CNY</x:v>
      </x:c>
      <x:c r="E25" s="16" t="str">
        <x:v>Foreign affairs</x:v>
      </x:c>
      <x:c r="F25" s="48" t="n">
        <x:v>6.1994</x:v>
      </x:c>
      <x:c r="G25" s="58"/>
      <x:c r="H25" s="59" t="n">
        <x:f>IF(L25="Primary",IFERROR(F25/SUMIFS($F$4:$F$102,$B$4:$B$102,B25,$C$4:$C$102,C25,$L$4:$L$102,"Primary"),""),"")</x:f>
        <x:v>0.0003383185614428888</x:v>
      </x:c>
      <x:c r="I25" s="16" t="str">
        <x:v>Reported budgetary function</x:v>
      </x:c>
      <x:c r="J25" s="16" t="str">
        <x:v>https://xxgk.pku.edu.cn/docs/2026-08/a370fd617ccb405e84dc53cb726502e2.pdf</x:v>
      </x:c>
      <x:c r="K25" s="16" t="str"/>
      <x:c r="L25" s="16" t="str">
        <x:v>Primary</x:v>
      </x:c>
    </x:row>
    <x:row r="26">
      <x:c r="A26" s="16" t="n">
        <x:v>13</x:v>
      </x:c>
      <x:c r="B26" s="16" t="str">
        <x:v>Peking University</x:v>
      </x:c>
      <x:c r="C26" s="16" t="str">
        <x:v>FY2025 final accounts</x:v>
      </x:c>
      <x:c r="D26" s="16" t="str">
        <x:v>CNY</x:v>
      </x:c>
      <x:c r="E26" s="16" t="str">
        <x:v>Housing</x:v>
      </x:c>
      <x:c r="F26" s="48" t="n">
        <x:v>447.4968</x:v>
      </x:c>
      <x:c r="G26" s="58"/>
      <x:c r="H26" s="59" t="n">
        <x:f>IF(L26="Primary",IFERROR(F26/SUMIFS($F$4:$F$102,$B$4:$B$102,B26,$C$4:$C$102,C26,$L$4:$L$102,"Primary"),""),"")</x:f>
        <x:v>0.024421149405796712</x:v>
      </x:c>
      <x:c r="I26" s="16" t="str">
        <x:v>Reported budgetary function</x:v>
      </x:c>
      <x:c r="J26" s="16" t="str">
        <x:v>https://xxgk.pku.edu.cn/docs/2026-08/a370fd617ccb405e84dc53cb726502e2.pdf</x:v>
      </x:c>
      <x:c r="K26" s="16" t="str"/>
      <x:c r="L26" s="16" t="str">
        <x:v>Primary</x:v>
      </x:c>
    </x:row>
    <x:row r="27">
      <x:c r="A27" s="16" t="n">
        <x:v>13</x:v>
      </x:c>
      <x:c r="B27" s="16" t="str">
        <x:v>Peking University</x:v>
      </x:c>
      <x:c r="C27" s="16" t="str">
        <x:v>FY2025 final accounts</x:v>
      </x:c>
      <x:c r="D27" s="16" t="str">
        <x:v>CNY</x:v>
      </x:c>
      <x:c r="E27" s="16" t="str">
        <x:v>Other</x:v>
      </x:c>
      <x:c r="F27" s="48" t="n">
        <x:v>0.7503</x:v>
      </x:c>
      <x:c r="G27" s="58"/>
      <x:c r="H27" s="59" t="n">
        <x:f>IF(L27="Primary",IFERROR(F27/SUMIFS($F$4:$F$102,$B$4:$B$102,B27,$C$4:$C$102,C27,$L$4:$L$102,"Primary"),""),"")</x:f>
        <x:v>0.00004094596519834169</x:v>
      </x:c>
      <x:c r="I27" s="16" t="str">
        <x:v>Reported budgetary function</x:v>
      </x:c>
      <x:c r="J27" s="16" t="str">
        <x:v>https://xxgk.pku.edu.cn/docs/2026-08/a370fd617ccb405e84dc53cb726502e2.pdf</x:v>
      </x:c>
      <x:c r="K27" s="16" t="str"/>
      <x:c r="L27" s="16" t="str">
        <x:v>Primary</x:v>
      </x:c>
    </x:row>
    <x:row r="28">
      <x:c r="A28" s="16" t="n">
        <x:v>13</x:v>
      </x:c>
      <x:c r="B28" s="16" t="str">
        <x:v>Peking University</x:v>
      </x:c>
      <x:c r="C28" s="16" t="str">
        <x:v>FY2025 final accounts</x:v>
      </x:c>
      <x:c r="D28" s="16" t="str">
        <x:v>CNY</x:v>
      </x:c>
      <x:c r="E28" s="16" t="str">
        <x:v>Science &amp; technology</x:v>
      </x:c>
      <x:c r="F28" s="48" t="n">
        <x:v>424.7401</x:v>
      </x:c>
      <x:c r="G28" s="58"/>
      <x:c r="H28" s="59" t="n">
        <x:f>IF(L28="Primary",IFERROR(F28/SUMIFS($F$4:$F$102,$B$4:$B$102,B28,$C$4:$C$102,C28,$L$4:$L$102,"Primary"),""),"")</x:f>
        <x:v>0.023179252769479103</x:v>
      </x:c>
      <x:c r="I28" s="16" t="str">
        <x:v>Reported budgetary function</x:v>
      </x:c>
      <x:c r="J28" s="16" t="str">
        <x:v>https://xxgk.pku.edu.cn/docs/2026-08/a370fd617ccb405e84dc53cb726502e2.pdf</x:v>
      </x:c>
      <x:c r="K28" s="16" t="str"/>
      <x:c r="L28" s="16" t="str">
        <x:v>Primary</x:v>
      </x:c>
    </x:row>
    <x:row r="29">
      <x:c r="A29" s="16" t="n">
        <x:v>13</x:v>
      </x:c>
      <x:c r="B29" s="16" t="str">
        <x:v>Peking University</x:v>
      </x:c>
      <x:c r="C29" s="16" t="str">
        <x:v>FY2025 final accounts</x:v>
      </x:c>
      <x:c r="D29" s="16" t="str">
        <x:v>CNY</x:v>
      </x:c>
      <x:c r="E29" s="16" t="str">
        <x:v>Social security &amp; employment</x:v>
      </x:c>
      <x:c r="F29" s="48" t="n">
        <x:v>353.7491</x:v>
      </x:c>
      <x:c r="G29" s="58"/>
      <x:c r="H29" s="59" t="n">
        <x:f>IF(L29="Primary",IFERROR(F29/SUMIFS($F$4:$F$102,$B$4:$B$102,B29,$C$4:$C$102,C29,$L$4:$L$102,"Primary"),""),"")</x:f>
        <x:v>0.01930507575309169</x:v>
      </x:c>
      <x:c r="I29" s="16" t="str">
        <x:v>Reported budgetary function</x:v>
      </x:c>
      <x:c r="J29" s="16" t="str">
        <x:v>https://xxgk.pku.edu.cn/docs/2026-08/a370fd617ccb405e84dc53cb726502e2.pdf</x:v>
      </x:c>
      <x:c r="K29" s="16" t="str"/>
      <x:c r="L29" s="16" t="str">
        <x:v>Primary</x:v>
      </x:c>
    </x:row>
    <x:row r="30">
      <x:c r="A30" s="16" t="n">
        <x:v>14</x:v>
      </x:c>
      <x:c r="B30" s="16" t="str">
        <x:v>Tsinghua University</x:v>
      </x:c>
      <x:c r="C30" s="16" t="str">
        <x:v>FY2025 final accounts</x:v>
      </x:c>
      <x:c r="D30" s="16" t="str">
        <x:v>CNY</x:v>
      </x:c>
      <x:c r="E30" s="16" t="str">
        <x:v>Education</x:v>
      </x:c>
      <x:c r="F30" s="48" t="n">
        <x:v>22350.2478</x:v>
      </x:c>
      <x:c r="G30" s="58"/>
      <x:c r="H30" s="59" t="n">
        <x:f>IF(L30="Primary",IFERROR(F30/SUMIFS($F$4:$F$102,$B$4:$B$102,B30,$C$4:$C$102,C30,$L$4:$L$102,"Primary"),""),"")</x:f>
        <x:v>0.8667436745340757</x:v>
      </x:c>
      <x:c r="I30" s="16" t="str">
        <x:v>Reported budgetary function</x:v>
      </x:c>
      <x:c r="J30" s="16" t="str">
        <x:v>https://www.tsinghua.edu.cn/__local/D/36/72/95594450951E25283DD5E82BF22_3B0FFE88_69AC7.pdf</x:v>
      </x:c>
      <x:c r="K30" s="16" t="str"/>
      <x:c r="L30" s="16" t="str">
        <x:v>Primary</x:v>
      </x:c>
    </x:row>
    <x:row r="31">
      <x:c r="A31" s="16" t="n">
        <x:v>14</x:v>
      </x:c>
      <x:c r="B31" s="16" t="str">
        <x:v>Tsinghua University</x:v>
      </x:c>
      <x:c r="C31" s="16" t="str">
        <x:v>FY2025 final accounts</x:v>
      </x:c>
      <x:c r="D31" s="16" t="str">
        <x:v>CNY</x:v>
      </x:c>
      <x:c r="E31" s="16" t="str">
        <x:v>Foreign affairs</x:v>
      </x:c>
      <x:c r="F31" s="48" t="n">
        <x:v>0.3754</x:v>
      </x:c>
      <x:c r="G31" s="58"/>
      <x:c r="H31" s="59" t="n">
        <x:f>IF(L31="Primary",IFERROR(F31/SUMIFS($F$4:$F$102,$B$4:$B$102,B31,$C$4:$C$102,C31,$L$4:$L$102,"Primary"),""),"")</x:f>
        <x:v>0.000014558029885471429</x:v>
      </x:c>
      <x:c r="I31" s="16" t="str">
        <x:v>Reported budgetary function</x:v>
      </x:c>
      <x:c r="J31" s="16" t="str">
        <x:v>https://www.tsinghua.edu.cn/__local/D/36/72/95594450951E25283DD5E82BF22_3B0FFE88_69AC7.pdf</x:v>
      </x:c>
      <x:c r="K31" s="16" t="str"/>
      <x:c r="L31" s="16" t="str">
        <x:v>Primary</x:v>
      </x:c>
    </x:row>
    <x:row r="32">
      <x:c r="A32" s="16" t="n">
        <x:v>14</x:v>
      </x:c>
      <x:c r="B32" s="16" t="str">
        <x:v>Tsinghua University</x:v>
      </x:c>
      <x:c r="C32" s="16" t="str">
        <x:v>FY2025 final accounts</x:v>
      </x:c>
      <x:c r="D32" s="16" t="str">
        <x:v>CNY</x:v>
      </x:c>
      <x:c r="E32" s="16" t="str">
        <x:v>Health</x:v>
      </x:c>
      <x:c r="F32" s="48" t="n">
        <x:v>1980.4436</x:v>
      </x:c>
      <x:c r="G32" s="58"/>
      <x:c r="H32" s="59" t="n">
        <x:f>IF(L32="Primary",IFERROR(F32/SUMIFS($F$4:$F$102,$B$4:$B$102,B32,$C$4:$C$102,C32,$L$4:$L$102,"Primary"),""),"")</x:f>
        <x:v>0.07680169716380028</x:v>
      </x:c>
      <x:c r="I32" s="16" t="str">
        <x:v>Reported budgetary function</x:v>
      </x:c>
      <x:c r="J32" s="16" t="str">
        <x:v>https://www.tsinghua.edu.cn/__local/D/36/72/95594450951E25283DD5E82BF22_3B0FFE88_69AC7.pdf</x:v>
      </x:c>
      <x:c r="K32" s="16" t="str"/>
      <x:c r="L32" s="16" t="str">
        <x:v>Primary</x:v>
      </x:c>
    </x:row>
    <x:row r="33">
      <x:c r="A33" s="16" t="n">
        <x:v>14</x:v>
      </x:c>
      <x:c r="B33" s="16" t="str">
        <x:v>Tsinghua University</x:v>
      </x:c>
      <x:c r="C33" s="16" t="str">
        <x:v>FY2025 final accounts</x:v>
      </x:c>
      <x:c r="D33" s="16" t="str">
        <x:v>CNY</x:v>
      </x:c>
      <x:c r="E33" s="16" t="str">
        <x:v>Housing</x:v>
      </x:c>
      <x:c r="F33" s="48" t="n">
        <x:v>522.7868</x:v>
      </x:c>
      <x:c r="G33" s="58"/>
      <x:c r="H33" s="59" t="n">
        <x:f>IF(L33="Primary",IFERROR(F33/SUMIFS($F$4:$F$102,$B$4:$B$102,B33,$C$4:$C$102,C33,$L$4:$L$102,"Primary"),""),"")</x:f>
        <x:v>0.020273697011534295</x:v>
      </x:c>
      <x:c r="I33" s="16" t="str">
        <x:v>Reported budgetary function</x:v>
      </x:c>
      <x:c r="J33" s="16" t="str">
        <x:v>https://www.tsinghua.edu.cn/__local/D/36/72/95594450951E25283DD5E82BF22_3B0FFE88_69AC7.pdf</x:v>
      </x:c>
      <x:c r="K33" s="16" t="str"/>
      <x:c r="L33" s="16" t="str">
        <x:v>Primary</x:v>
      </x:c>
    </x:row>
    <x:row r="34">
      <x:c r="A34" s="16" t="n">
        <x:v>14</x:v>
      </x:c>
      <x:c r="B34" s="16" t="str">
        <x:v>Tsinghua University</x:v>
      </x:c>
      <x:c r="C34" s="16" t="str">
        <x:v>FY2025 final accounts</x:v>
      </x:c>
      <x:c r="D34" s="16" t="str">
        <x:v>CNY</x:v>
      </x:c>
      <x:c r="E34" s="16" t="str">
        <x:v>Other</x:v>
      </x:c>
      <x:c r="F34" s="48" t="n">
        <x:v>0.8425</x:v>
      </x:c>
      <x:c r="G34" s="58"/>
      <x:c r="H34" s="59" t="n">
        <x:f>IF(L34="Primary",IFERROR(F34/SUMIFS($F$4:$F$102,$B$4:$B$102,B34,$C$4:$C$102,C34,$L$4:$L$102,"Primary"),""),"")</x:f>
        <x:v>0.00003267219013987661</x:v>
      </x:c>
      <x:c r="I34" s="16" t="str">
        <x:v>Reported budgetary function</x:v>
      </x:c>
      <x:c r="J34" s="16" t="str">
        <x:v>https://www.tsinghua.edu.cn/__local/D/36/72/95594450951E25283DD5E82BF22_3B0FFE88_69AC7.pdf</x:v>
      </x:c>
      <x:c r="K34" s="16" t="str"/>
      <x:c r="L34" s="16" t="str">
        <x:v>Primary</x:v>
      </x:c>
    </x:row>
    <x:row r="35">
      <x:c r="A35" s="16" t="n">
        <x:v>14</x:v>
      </x:c>
      <x:c r="B35" s="16" t="str">
        <x:v>Tsinghua University</x:v>
      </x:c>
      <x:c r="C35" s="16" t="str">
        <x:v>FY2025 final accounts</x:v>
      </x:c>
      <x:c r="D35" s="16" t="str">
        <x:v>CNY</x:v>
      </x:c>
      <x:c r="E35" s="16" t="str">
        <x:v>Resources/industry</x:v>
      </x:c>
      <x:c r="F35" s="48" t="n">
        <x:v>40.5655</x:v>
      </x:c>
      <x:c r="G35" s="58"/>
      <x:c r="H35" s="59" t="n">
        <x:f>IF(L35="Primary",IFERROR(F35/SUMIFS($F$4:$F$102,$B$4:$B$102,B35,$C$4:$C$102,C35,$L$4:$L$102,"Primary"),""),"")</x:f>
        <x:v>0.0015731320226933703</x:v>
      </x:c>
      <x:c r="I35" s="16" t="str">
        <x:v>Reported budgetary function</x:v>
      </x:c>
      <x:c r="J35" s="16" t="str">
        <x:v>https://www.tsinghua.edu.cn/__local/D/36/72/95594450951E25283DD5E82BF22_3B0FFE88_69AC7.pdf</x:v>
      </x:c>
      <x:c r="K35" s="16" t="str"/>
      <x:c r="L35" s="16" t="str">
        <x:v>Primary</x:v>
      </x:c>
    </x:row>
    <x:row r="36">
      <x:c r="A36" s="16" t="n">
        <x:v>14</x:v>
      </x:c>
      <x:c r="B36" s="16" t="str">
        <x:v>Tsinghua University</x:v>
      </x:c>
      <x:c r="C36" s="16" t="str">
        <x:v>FY2025 final accounts</x:v>
      </x:c>
      <x:c r="D36" s="16" t="str">
        <x:v>CNY</x:v>
      </x:c>
      <x:c r="E36" s="16" t="str">
        <x:v>Science &amp; technology</x:v>
      </x:c>
      <x:c r="F36" s="48" t="n">
        <x:v>504.3868</x:v>
      </x:c>
      <x:c r="G36" s="58"/>
      <x:c r="H36" s="59" t="n">
        <x:f>IF(L36="Primary",IFERROR(F36/SUMIFS($F$4:$F$102,$B$4:$B$102,B36,$C$4:$C$102,C36,$L$4:$L$102,"Primary"),""),"")</x:f>
        <x:v>0.019560144134888918</x:v>
      </x:c>
      <x:c r="I36" s="16" t="str">
        <x:v>Reported budgetary function</x:v>
      </x:c>
      <x:c r="J36" s="16" t="str">
        <x:v>https://www.tsinghua.edu.cn/__local/D/36/72/95594450951E25283DD5E82BF22_3B0FFE88_69AC7.pdf</x:v>
      </x:c>
      <x:c r="K36" s="16" t="str"/>
      <x:c r="L36" s="16" t="str">
        <x:v>Primary</x:v>
      </x:c>
    </x:row>
    <x:row r="37">
      <x:c r="A37" s="16" t="n">
        <x:v>14</x:v>
      </x:c>
      <x:c r="B37" s="16" t="str">
        <x:v>Tsinghua University</x:v>
      </x:c>
      <x:c r="C37" s="16" t="str">
        <x:v>FY2025 final accounts</x:v>
      </x:c>
      <x:c r="D37" s="16" t="str">
        <x:v>CNY</x:v>
      </x:c>
      <x:c r="E37" s="16" t="str">
        <x:v>Social security &amp; employment</x:v>
      </x:c>
      <x:c r="F37" s="48" t="n">
        <x:v>386.7368</x:v>
      </x:c>
      <x:c r="G37" s="58"/>
      <x:c r="H37" s="59" t="n">
        <x:f>IF(L37="Primary",IFERROR(F37/SUMIFS($F$4:$F$102,$B$4:$B$102,B37,$C$4:$C$102,C37,$L$4:$L$102,"Primary"),""),"")</x:f>
        <x:v>0.014997671529599325</x:v>
      </x:c>
      <x:c r="I37" s="16" t="str">
        <x:v>Reported budgetary function</x:v>
      </x:c>
      <x:c r="J37" s="16" t="str">
        <x:v>https://www.tsinghua.edu.cn/__local/D/36/72/95594450951E25283DD5E82BF22_3B0FFE88_69AC7.pdf</x:v>
      </x:c>
      <x:c r="K37" s="16" t="str"/>
      <x:c r="L37" s="16" t="str">
        <x:v>Primary</x:v>
      </x:c>
    </x:row>
    <x:row r="38">
      <x:c r="A38" s="16" t="n">
        <x:v>14</x:v>
      </x:c>
      <x:c r="B38" s="16" t="str">
        <x:v>Tsinghua University</x:v>
      </x:c>
      <x:c r="C38" s="16" t="str">
        <x:v>FY2025 final accounts</x:v>
      </x:c>
      <x:c r="D38" s="16" t="str">
        <x:v>CNY</x:v>
      </x:c>
      <x:c r="E38" s="16" t="str">
        <x:v>Transport</x:v>
      </x:c>
      <x:c r="F38" s="48" t="n">
        <x:v>0.071</x:v>
      </x:c>
      <x:c r="G38" s="58"/>
      <x:c r="H38" s="59" t="n">
        <x:f>IF(L38="Primary",IFERROR(F38/SUMIFS($F$4:$F$102,$B$4:$B$102,B38,$C$4:$C$102,C38,$L$4:$L$102,"Primary"),""),"")</x:f>
        <x:v>0.0000027533833827077018</x:v>
      </x:c>
      <x:c r="I38" s="16" t="str">
        <x:v>Reported budgetary function</x:v>
      </x:c>
      <x:c r="J38" s="16" t="str">
        <x:v>https://www.tsinghua.edu.cn/__local/D/36/72/95594450951E25283DD5E82BF22_3B0FFE88_69AC7.pdf</x:v>
      </x:c>
      <x:c r="K38" s="16" t="str"/>
      <x:c r="L38" s="16" t="str">
        <x:v>Primary</x:v>
      </x:c>
    </x:row>
    <x:row r="39">
      <x:c r="A39" s="16" t="n">
        <x:v>19</x:v>
      </x:c>
      <x:c r="B39" s="16" t="str">
        <x:v>The University of New South Wales (UNSW Sydney)</x:v>
      </x:c>
      <x:c r="C39" s="16" t="str">
        <x:v>FY2024</x:v>
      </x:c>
      <x:c r="D39" s="16" t="str">
        <x:v>AUD</x:v>
      </x:c>
      <x:c r="E39" s="16" t="str">
        <x:v>Borrowing costs</x:v>
      </x:c>
      <x:c r="F39" s="48" t="n">
        <x:v>14.98</x:v>
      </x:c>
      <x:c r="G39" s="58"/>
      <x:c r="H39" s="59" t="n">
        <x:f>IF(L39="Primary",IFERROR(F39/SUMIFS($F$4:$F$102,$B$4:$B$102,B39,$C$4:$C$102,C39,$L$4:$L$102,"Primary"),""),"")</x:f>
        <x:v>0.0047511106276128335</x:v>
      </x:c>
      <x:c r="I39" s="16" t="str">
        <x:v>Official standardized</x:v>
      </x:c>
      <x:c r="J39" s="16" t="str">
        <x:v>https://www.education.gov.au/download/19832/finance-2024-financial-reports-higher-education-providers/43010/2024-higher-education-providers-finance-tables/csv</x:v>
      </x:c>
      <x:c r="K39" s="16" t="str"/>
      <x:c r="L39" s="16" t="str">
        <x:v>Primary</x:v>
      </x:c>
    </x:row>
    <x:row r="40">
      <x:c r="A40" s="16" t="n">
        <x:v>19</x:v>
      </x:c>
      <x:c r="B40" s="16" t="str">
        <x:v>The University of New South Wales (UNSW Sydney)</x:v>
      </x:c>
      <x:c r="C40" s="16" t="str">
        <x:v>FY2024</x:v>
      </x:c>
      <x:c r="D40" s="16" t="str">
        <x:v>AUD</x:v>
      </x:c>
      <x:c r="E40" s="16" t="str">
        <x:v>Depreciation &amp; amortisation</x:v>
      </x:c>
      <x:c r="F40" s="48" t="n">
        <x:v>252.611</x:v>
      </x:c>
      <x:c r="G40" s="58"/>
      <x:c r="H40" s="59" t="n">
        <x:f>IF(L40="Primary",IFERROR(F40/SUMIFS($F$4:$F$102,$B$4:$B$102,B40,$C$4:$C$102,C40,$L$4:$L$102,"Primary"),""),"")</x:f>
        <x:v>0.08011901246674935</x:v>
      </x:c>
      <x:c r="I40" s="16" t="str">
        <x:v>Official standardized</x:v>
      </x:c>
      <x:c r="J40" s="16" t="str">
        <x:v>https://www.education.gov.au/download/19832/finance-2024-financial-reports-higher-education-providers/43010/2024-higher-education-providers-finance-tables/csv</x:v>
      </x:c>
      <x:c r="K40" s="16" t="str"/>
      <x:c r="L40" s="16" t="str">
        <x:v>Primary</x:v>
      </x:c>
    </x:row>
    <x:row r="41">
      <x:c r="A41" s="16" t="n">
        <x:v>19</x:v>
      </x:c>
      <x:c r="B41" s="16" t="str">
        <x:v>The University of New South Wales (UNSW Sydney)</x:v>
      </x:c>
      <x:c r="C41" s="16" t="str">
        <x:v>FY2024</x:v>
      </x:c>
      <x:c r="D41" s="16" t="str">
        <x:v>AUD</x:v>
      </x:c>
      <x:c r="E41" s="16" t="str">
        <x:v>Employee-related expenses</x:v>
      </x:c>
      <x:c r="F41" s="48" t="n">
        <x:v>1624.269</x:v>
      </x:c>
      <x:c r="G41" s="58"/>
      <x:c r="H41" s="59" t="n">
        <x:f>IF(L41="Primary",IFERROR(F41/SUMIFS($F$4:$F$102,$B$4:$B$102,B41,$C$4:$C$102,C41,$L$4:$L$102,"Primary"),""),"")</x:f>
        <x:v>0.5151589925235026</x:v>
      </x:c>
      <x:c r="I41" s="16" t="str">
        <x:v>Official standardized</x:v>
      </x:c>
      <x:c r="J41" s="16" t="str">
        <x:v>https://www.education.gov.au/download/19832/finance-2024-financial-reports-higher-education-providers/43010/2024-higher-education-providers-finance-tables/csv</x:v>
      </x:c>
      <x:c r="K41" s="16" t="str"/>
      <x:c r="L41" s="16" t="str">
        <x:v>Primary</x:v>
      </x:c>
    </x:row>
    <x:row r="42">
      <x:c r="A42" s="16" t="n">
        <x:v>19</x:v>
      </x:c>
      <x:c r="B42" s="16" t="str">
        <x:v>The University of New South Wales (UNSW Sydney)</x:v>
      </x:c>
      <x:c r="C42" s="16" t="str">
        <x:v>FY2024</x:v>
      </x:c>
      <x:c r="D42" s="16" t="str">
        <x:v>AUD</x:v>
      </x:c>
      <x:c r="E42" s="16" t="str">
        <x:v>Impairment of assets</x:v>
      </x:c>
      <x:c r="F42" s="48" t="n">
        <x:v>41.038</x:v>
      </x:c>
      <x:c r="G42" s="58"/>
      <x:c r="H42" s="59" t="n">
        <x:f>IF(L42="Primary",IFERROR(F42/SUMIFS($F$4:$F$102,$B$4:$B$102,B42,$C$4:$C$102,C42,$L$4:$L$102,"Primary"),""),"")</x:f>
        <x:v>0.013015759541787412</x:v>
      </x:c>
      <x:c r="I42" s="16" t="str">
        <x:v>Official standardized</x:v>
      </x:c>
      <x:c r="J42" s="16" t="str">
        <x:v>https://www.education.gov.au/download/19832/finance-2024-financial-reports-higher-education-providers/43010/2024-higher-education-providers-finance-tables/csv</x:v>
      </x:c>
      <x:c r="K42" s="16" t="str"/>
      <x:c r="L42" s="16" t="str">
        <x:v>Primary</x:v>
      </x:c>
    </x:row>
    <x:row r="43">
      <x:c r="A43" s="16" t="n">
        <x:v>19</x:v>
      </x:c>
      <x:c r="B43" s="16" t="str">
        <x:v>The University of New South Wales (UNSW Sydney)</x:v>
      </x:c>
      <x:c r="C43" s="16" t="str">
        <x:v>FY2024</x:v>
      </x:c>
      <x:c r="D43" s="16" t="str">
        <x:v>AUD</x:v>
      </x:c>
      <x:c r="E43" s="16" t="str">
        <x:v>Investment losses</x:v>
      </x:c>
      <x:c r="F43" s="48" t="n">
        <x:v>0</x:v>
      </x:c>
      <x:c r="G43" s="58"/>
      <x:c r="H43" s="59" t="n">
        <x:f>IF(L43="Primary",IFERROR(F43/SUMIFS($F$4:$F$102,$B$4:$B$102,B43,$C$4:$C$102,C43,$L$4:$L$102,"Primary"),""),"")</x:f>
        <x:v>0</x:v>
      </x:c>
      <x:c r="I43" s="16" t="str">
        <x:v>Official standardized</x:v>
      </x:c>
      <x:c r="J43" s="16" t="str">
        <x:v>https://www.education.gov.au/download/19832/finance-2024-financial-reports-higher-education-providers/43010/2024-higher-education-providers-finance-tables/csv</x:v>
      </x:c>
      <x:c r="K43" s="16" t="str"/>
      <x:c r="L43" s="16" t="str">
        <x:v>Primary</x:v>
      </x:c>
    </x:row>
    <x:row r="44">
      <x:c r="A44" s="16" t="n">
        <x:v>19</x:v>
      </x:c>
      <x:c r="B44" s="16" t="str">
        <x:v>The University of New South Wales (UNSW Sydney)</x:v>
      </x:c>
      <x:c r="C44" s="16" t="str">
        <x:v>FY2024</x:v>
      </x:c>
      <x:c r="D44" s="16" t="str">
        <x:v>AUD</x:v>
      </x:c>
      <x:c r="E44" s="16" t="str">
        <x:v>Other expenses</x:v>
      </x:c>
      <x:c r="F44" s="48" t="n">
        <x:v>1167.911</x:v>
      </x:c>
      <x:c r="G44" s="58"/>
      <x:c r="H44" s="59" t="n">
        <x:f>IF(L44="Primary",IFERROR(F44/SUMIFS($F$4:$F$102,$B$4:$B$102,B44,$C$4:$C$102,C44,$L$4:$L$102,"Primary"),""),"")</x:f>
        <x:v>0.37041884941294606</x:v>
      </x:c>
      <x:c r="I44" s="16" t="str">
        <x:v>Official standardized</x:v>
      </x:c>
      <x:c r="J44" s="16" t="str">
        <x:v>https://www.education.gov.au/download/19832/finance-2024-financial-reports-higher-education-providers/43010/2024-higher-education-providers-finance-tables/csv</x:v>
      </x:c>
      <x:c r="K44" s="16" t="str"/>
      <x:c r="L44" s="16" t="str">
        <x:v>Primary</x:v>
      </x:c>
    </x:row>
    <x:row r="45">
      <x:c r="A45" s="16" t="n">
        <x:v>19</x:v>
      </x:c>
      <x:c r="B45" s="16" t="str">
        <x:v>The University of New South Wales (UNSW Sydney)</x:v>
      </x:c>
      <x:c r="C45" s="16" t="str">
        <x:v>FY2024</x:v>
      </x:c>
      <x:c r="D45" s="16" t="str">
        <x:v>AUD</x:v>
      </x:c>
      <x:c r="E45" s="16" t="str">
        <x:v>Repairs &amp; maintenance</x:v>
      </x:c>
      <x:c r="F45" s="48" t="n">
        <x:v>52.138</x:v>
      </x:c>
      <x:c r="G45" s="58"/>
      <x:c r="H45" s="59" t="n">
        <x:f>IF(L45="Primary",IFERROR(F45/SUMIFS($F$4:$F$102,$B$4:$B$102,B45,$C$4:$C$102,C45,$L$4:$L$102,"Primary"),""),"")</x:f>
        <x:v>0.016536275427401728</x:v>
      </x:c>
      <x:c r="I45" s="16" t="str">
        <x:v>Official standardized</x:v>
      </x:c>
      <x:c r="J45" s="16" t="str">
        <x:v>https://www.education.gov.au/download/19832/finance-2024-financial-reports-higher-education-providers/43010/2024-higher-education-providers-finance-tables/csv</x:v>
      </x:c>
      <x:c r="K45" s="16" t="str"/>
      <x:c r="L45" s="16" t="str">
        <x:v>Primary</x:v>
      </x:c>
    </x:row>
    <x:row r="46">
      <x:c r="A46" s="16" t="n">
        <x:v>19</x:v>
      </x:c>
      <x:c r="B46" s="16" t="str">
        <x:v>The University of New South Wales (UNSW Sydney)</x:v>
      </x:c>
      <x:c r="C46" s="16" t="str">
        <x:v>FY2024</x:v>
      </x:c>
      <x:c r="D46" s="16" t="str">
        <x:v>AUD</x:v>
      </x:c>
      <x:c r="E46" s="16" t="str">
        <x:v>Scholarships, grants &amp; prizes (subset of other expenses)</x:v>
      </x:c>
      <x:c r="F46" s="48" t="n">
        <x:v>361.074</x:v>
      </x:c>
      <x:c r="G46" s="58"/>
      <x:c r="H46" s="59" t="str">
        <x:f>IF(L46="Primary",IFERROR(F46/SUMIFS($F$4:$F$102,$B$4:$B$102,B46,$C$4:$C$102,C46,$L$4:$L$102,"Primary"),""),"")</x:f>
      </x:c>
      <x:c r="I46" s="16" t="str">
        <x:v>Supplemental subset - do not sum</x:v>
      </x:c>
      <x:c r="J46" s="16" t="str">
        <x:v>https://www.education.gov.au/download/19832/finance-2024-financial-reports-higher-education-providers/43010/2024-higher-education-providers-finance-tables/csv</x:v>
      </x:c>
      <x:c r="K46" s="16" t="str">
        <x:v>Subset/detail metric; do not add to top-level expense mix.</x:v>
      </x:c>
      <x:c r="L46" s="16" t="str">
        <x:v>Supplemental</x:v>
      </x:c>
    </x:row>
    <x:row r="47">
      <x:c r="A47" s="16" t="n">
        <x:v>22</x:v>
      </x:c>
      <x:c r="B47" s="16" t="str">
        <x:v>The University of Melbourne</x:v>
      </x:c>
      <x:c r="C47" s="16" t="str">
        <x:v>FY2024</x:v>
      </x:c>
      <x:c r="D47" s="16" t="str">
        <x:v>AUD</x:v>
      </x:c>
      <x:c r="E47" s="16" t="str">
        <x:v>Borrowing costs</x:v>
      </x:c>
      <x:c r="F47" s="48" t="n">
        <x:v>78.322</x:v>
      </x:c>
      <x:c r="G47" s="58"/>
      <x:c r="H47" s="59" t="n">
        <x:f>IF(L47="Primary",IFERROR(F47/SUMIFS($F$4:$F$102,$B$4:$B$102,B47,$C$4:$C$102,C47,$L$4:$L$102,"Primary"),""),"")</x:f>
        <x:v>0.022854044817528302</x:v>
      </x:c>
      <x:c r="I47" s="16" t="str">
        <x:v>Official standardized</x:v>
      </x:c>
      <x:c r="J47" s="16" t="str">
        <x:v>https://www.education.gov.au/download/19832/finance-2024-financial-reports-higher-education-providers/43010/2024-higher-education-providers-finance-tables/csv</x:v>
      </x:c>
      <x:c r="K47" s="16" t="str"/>
      <x:c r="L47" s="16" t="str">
        <x:v>Primary</x:v>
      </x:c>
    </x:row>
    <x:row r="48">
      <x:c r="A48" s="16" t="n">
        <x:v>22</x:v>
      </x:c>
      <x:c r="B48" s="16" t="str">
        <x:v>The University of Melbourne</x:v>
      </x:c>
      <x:c r="C48" s="16" t="str">
        <x:v>FY2024</x:v>
      </x:c>
      <x:c r="D48" s="16" t="str">
        <x:v>AUD</x:v>
      </x:c>
      <x:c r="E48" s="16" t="str">
        <x:v>Depreciation &amp; amortisation</x:v>
      </x:c>
      <x:c r="F48" s="48" t="n">
        <x:v>168.14</x:v>
      </x:c>
      <x:c r="G48" s="58"/>
      <x:c r="H48" s="59" t="n">
        <x:f>IF(L48="Primary",IFERROR(F48/SUMIFS($F$4:$F$102,$B$4:$B$102,B48,$C$4:$C$102,C48,$L$4:$L$102,"Primary"),""),"")</x:f>
        <x:v>0.04906257623170001</x:v>
      </x:c>
      <x:c r="I48" s="16" t="str">
        <x:v>Official standardized</x:v>
      </x:c>
      <x:c r="J48" s="16" t="str">
        <x:v>https://www.education.gov.au/download/19832/finance-2024-financial-reports-higher-education-providers/43010/2024-higher-education-providers-finance-tables/csv</x:v>
      </x:c>
      <x:c r="K48" s="16" t="str"/>
      <x:c r="L48" s="16" t="str">
        <x:v>Primary</x:v>
      </x:c>
    </x:row>
    <x:row r="49">
      <x:c r="A49" s="16" t="n">
        <x:v>22</x:v>
      </x:c>
      <x:c r="B49" s="16" t="str">
        <x:v>The University of Melbourne</x:v>
      </x:c>
      <x:c r="C49" s="16" t="str">
        <x:v>FY2024</x:v>
      </x:c>
      <x:c r="D49" s="16" t="str">
        <x:v>AUD</x:v>
      </x:c>
      <x:c r="E49" s="16" t="str">
        <x:v>Employee-related expenses</x:v>
      </x:c>
      <x:c r="F49" s="48" t="n">
        <x:v>1939.395</x:v>
      </x:c>
      <x:c r="G49" s="58"/>
      <x:c r="H49" s="59" t="n">
        <x:f>IF(L49="Primary",IFERROR(F49/SUMIFS($F$4:$F$102,$B$4:$B$102,B49,$C$4:$C$102,C49,$L$4:$L$102,"Primary"),""),"")</x:f>
        <x:v>0.5659076664141659</x:v>
      </x:c>
      <x:c r="I49" s="16" t="str">
        <x:v>Official standardized</x:v>
      </x:c>
      <x:c r="J49" s="16" t="str">
        <x:v>https://www.education.gov.au/download/19832/finance-2024-financial-reports-higher-education-providers/43010/2024-higher-education-providers-finance-tables/csv</x:v>
      </x:c>
      <x:c r="K49" s="16" t="str"/>
      <x:c r="L49" s="16" t="str">
        <x:v>Primary</x:v>
      </x:c>
    </x:row>
    <x:row r="50">
      <x:c r="A50" s="16" t="n">
        <x:v>22</x:v>
      </x:c>
      <x:c r="B50" s="16" t="str">
        <x:v>The University of Melbourne</x:v>
      </x:c>
      <x:c r="C50" s="16" t="str">
        <x:v>FY2024</x:v>
      </x:c>
      <x:c r="D50" s="16" t="str">
        <x:v>AUD</x:v>
      </x:c>
      <x:c r="E50" s="16" t="str">
        <x:v>Impairment of assets</x:v>
      </x:c>
      <x:c r="F50" s="48" t="n">
        <x:v>24.142</x:v>
      </x:c>
      <x:c r="G50" s="58"/>
      <x:c r="H50" s="59" t="n">
        <x:f>IF(L50="Primary",IFERROR(F50/SUMIFS($F$4:$F$102,$B$4:$B$102,B50,$C$4:$C$102,C50,$L$4:$L$102,"Primary"),""),"")</x:f>
        <x:v>0.007044538571343534</x:v>
      </x:c>
      <x:c r="I50" s="16" t="str">
        <x:v>Official standardized</x:v>
      </x:c>
      <x:c r="J50" s="16" t="str">
        <x:v>https://www.education.gov.au/download/19832/finance-2024-financial-reports-higher-education-providers/43010/2024-higher-education-providers-finance-tables/csv</x:v>
      </x:c>
      <x:c r="K50" s="16" t="str"/>
      <x:c r="L50" s="16" t="str">
        <x:v>Primary</x:v>
      </x:c>
    </x:row>
    <x:row r="51">
      <x:c r="A51" s="16" t="n">
        <x:v>22</x:v>
      </x:c>
      <x:c r="B51" s="16" t="str">
        <x:v>The University of Melbourne</x:v>
      </x:c>
      <x:c r="C51" s="16" t="str">
        <x:v>FY2024</x:v>
      </x:c>
      <x:c r="D51" s="16" t="str">
        <x:v>AUD</x:v>
      </x:c>
      <x:c r="E51" s="16" t="str">
        <x:v>Investment losses</x:v>
      </x:c>
      <x:c r="F51" s="48" t="n">
        <x:v>0</x:v>
      </x:c>
      <x:c r="G51" s="58"/>
      <x:c r="H51" s="59" t="n">
        <x:f>IF(L51="Primary",IFERROR(F51/SUMIFS($F$4:$F$102,$B$4:$B$102,B51,$C$4:$C$102,C51,$L$4:$L$102,"Primary"),""),"")</x:f>
        <x:v>0</x:v>
      </x:c>
      <x:c r="I51" s="16" t="str">
        <x:v>Official standardized</x:v>
      </x:c>
      <x:c r="J51" s="16" t="str">
        <x:v>https://www.education.gov.au/download/19832/finance-2024-financial-reports-higher-education-providers/43010/2024-higher-education-providers-finance-tables/csv</x:v>
      </x:c>
      <x:c r="K51" s="16" t="str"/>
      <x:c r="L51" s="16" t="str">
        <x:v>Primary</x:v>
      </x:c>
    </x:row>
    <x:row r="52">
      <x:c r="A52" s="16" t="n">
        <x:v>22</x:v>
      </x:c>
      <x:c r="B52" s="16" t="str">
        <x:v>The University of Melbourne</x:v>
      </x:c>
      <x:c r="C52" s="16" t="str">
        <x:v>FY2024</x:v>
      </x:c>
      <x:c r="D52" s="16" t="str">
        <x:v>AUD</x:v>
      </x:c>
      <x:c r="E52" s="16" t="str">
        <x:v>Other expenses</x:v>
      </x:c>
      <x:c r="F52" s="48" t="n">
        <x:v>1147.099</x:v>
      </x:c>
      <x:c r="G52" s="58"/>
      <x:c r="H52" s="59" t="n">
        <x:f>IF(L52="Primary",IFERROR(F52/SUMIFS($F$4:$F$102,$B$4:$B$102,B52,$C$4:$C$102,C52,$L$4:$L$102,"Primary"),""),"")</x:f>
        <x:v>0.3347188779160631</x:v>
      </x:c>
      <x:c r="I52" s="16" t="str">
        <x:v>Official standardized</x:v>
      </x:c>
      <x:c r="J52" s="16" t="str">
        <x:v>https://www.education.gov.au/download/19832/finance-2024-financial-reports-higher-education-providers/43010/2024-higher-education-providers-finance-tables/csv</x:v>
      </x:c>
      <x:c r="K52" s="16" t="str"/>
      <x:c r="L52" s="16" t="str">
        <x:v>Primary</x:v>
      </x:c>
    </x:row>
    <x:row r="53">
      <x:c r="A53" s="16" t="n">
        <x:v>22</x:v>
      </x:c>
      <x:c r="B53" s="16" t="str">
        <x:v>The University of Melbourne</x:v>
      </x:c>
      <x:c r="C53" s="16" t="str">
        <x:v>FY2024</x:v>
      </x:c>
      <x:c r="D53" s="16" t="str">
        <x:v>AUD</x:v>
      </x:c>
      <x:c r="E53" s="16" t="str">
        <x:v>Repairs &amp; maintenance</x:v>
      </x:c>
      <x:c r="F53" s="48" t="n">
        <x:v>69.954</x:v>
      </x:c>
      <x:c r="G53" s="58"/>
      <x:c r="H53" s="59" t="n">
        <x:f>IF(L53="Primary",IFERROR(F53/SUMIFS($F$4:$F$102,$B$4:$B$102,B53,$C$4:$C$102,C53,$L$4:$L$102,"Primary"),""),"")</x:f>
        <x:v>0.020412296049199134</x:v>
      </x:c>
      <x:c r="I53" s="16" t="str">
        <x:v>Official standardized</x:v>
      </x:c>
      <x:c r="J53" s="16" t="str">
        <x:v>https://www.education.gov.au/download/19832/finance-2024-financial-reports-higher-education-providers/43010/2024-higher-education-providers-finance-tables/csv</x:v>
      </x:c>
      <x:c r="K53" s="16" t="str"/>
      <x:c r="L53" s="16" t="str">
        <x:v>Primary</x:v>
      </x:c>
    </x:row>
    <x:row r="54">
      <x:c r="A54" s="16" t="n">
        <x:v>22</x:v>
      </x:c>
      <x:c r="B54" s="16" t="str">
        <x:v>The University of Melbourne</x:v>
      </x:c>
      <x:c r="C54" s="16" t="str">
        <x:v>FY2024</x:v>
      </x:c>
      <x:c r="D54" s="16" t="str">
        <x:v>AUD</x:v>
      </x:c>
      <x:c r="E54" s="16" t="str">
        <x:v>Scholarships, grants &amp; prizes (subset of other expenses)</x:v>
      </x:c>
      <x:c r="F54" s="48" t="n">
        <x:v>289.374</x:v>
      </x:c>
      <x:c r="G54" s="58"/>
      <x:c r="H54" s="59" t="str">
        <x:f>IF(L54="Primary",IFERROR(F54/SUMIFS($F$4:$F$102,$B$4:$B$102,B54,$C$4:$C$102,C54,$L$4:$L$102,"Primary"),""),"")</x:f>
      </x:c>
      <x:c r="I54" s="16" t="str">
        <x:v>Supplemental subset - do not sum</x:v>
      </x:c>
      <x:c r="J54" s="16" t="str">
        <x:v>https://www.education.gov.au/download/19832/finance-2024-financial-reports-higher-education-providers/43010/2024-higher-education-providers-finance-tables/csv</x:v>
      </x:c>
      <x:c r="K54" s="16" t="str">
        <x:v>Subset/detail metric; do not add to top-level expense mix.</x:v>
      </x:c>
      <x:c r="L54" s="16" t="str">
        <x:v>Supplemental</x:v>
      </x:c>
    </x:row>
    <x:row r="55">
      <x:c r="A55" s="16" t="n">
        <x:v>28</x:v>
      </x:c>
      <x:c r="B55" s="16" t="str">
        <x:v>The University of Sydney</x:v>
      </x:c>
      <x:c r="C55" s="16" t="str">
        <x:v>FY2024</x:v>
      </x:c>
      <x:c r="D55" s="16" t="str">
        <x:v>AUD</x:v>
      </x:c>
      <x:c r="E55" s="16" t="str">
        <x:v>Borrowing costs</x:v>
      </x:c>
      <x:c r="F55" s="48" t="n">
        <x:v>23.99</x:v>
      </x:c>
      <x:c r="G55" s="58"/>
      <x:c r="H55" s="59" t="n">
        <x:f>IF(L55="Primary",IFERROR(F55/SUMIFS($F$4:$F$102,$B$4:$B$102,B55,$C$4:$C$102,C55,$L$4:$L$102,"Primary"),""),"")</x:f>
        <x:v>0.007182477748240831</x:v>
      </x:c>
      <x:c r="I55" s="16" t="str">
        <x:v>Official standardized</x:v>
      </x:c>
      <x:c r="J55" s="16" t="str">
        <x:v>https://www.education.gov.au/download/19832/finance-2024-financial-reports-higher-education-providers/43010/2024-higher-education-providers-finance-tables/csv</x:v>
      </x:c>
      <x:c r="K55" s="16" t="str"/>
      <x:c r="L55" s="16" t="str">
        <x:v>Primary</x:v>
      </x:c>
    </x:row>
    <x:row r="56">
      <x:c r="A56" s="16" t="n">
        <x:v>28</x:v>
      </x:c>
      <x:c r="B56" s="16" t="str">
        <x:v>The University of Sydney</x:v>
      </x:c>
      <x:c r="C56" s="16" t="str">
        <x:v>FY2024</x:v>
      </x:c>
      <x:c r="D56" s="16" t="str">
        <x:v>AUD</x:v>
      </x:c>
      <x:c r="E56" s="16" t="str">
        <x:v>Depreciation &amp; amortisation</x:v>
      </x:c>
      <x:c r="F56" s="48" t="n">
        <x:v>196.733</x:v>
      </x:c>
      <x:c r="G56" s="58"/>
      <x:c r="H56" s="59" t="n">
        <x:f>IF(L56="Primary",IFERROR(F56/SUMIFS($F$4:$F$102,$B$4:$B$102,B56,$C$4:$C$102,C56,$L$4:$L$102,"Primary"),""),"")</x:f>
        <x:v>0.058900808455384056</x:v>
      </x:c>
      <x:c r="I56" s="16" t="str">
        <x:v>Official standardized</x:v>
      </x:c>
      <x:c r="J56" s="16" t="str">
        <x:v>https://www.education.gov.au/download/19832/finance-2024-financial-reports-higher-education-providers/43010/2024-higher-education-providers-finance-tables/csv</x:v>
      </x:c>
      <x:c r="K56" s="16" t="str"/>
      <x:c r="L56" s="16" t="str">
        <x:v>Primary</x:v>
      </x:c>
    </x:row>
    <x:row r="57">
      <x:c r="A57" s="16" t="n">
        <x:v>28</x:v>
      </x:c>
      <x:c r="B57" s="16" t="str">
        <x:v>The University of Sydney</x:v>
      </x:c>
      <x:c r="C57" s="16" t="str">
        <x:v>FY2024</x:v>
      </x:c>
      <x:c r="D57" s="16" t="str">
        <x:v>AUD</x:v>
      </x:c>
      <x:c r="E57" s="16" t="str">
        <x:v>Employee-related expenses</x:v>
      </x:c>
      <x:c r="F57" s="48" t="n">
        <x:v>1946.33</x:v>
      </x:c>
      <x:c r="G57" s="58"/>
      <x:c r="H57" s="59" t="n">
        <x:f>IF(L57="Primary",IFERROR(F57/SUMIFS($F$4:$F$102,$B$4:$B$102,B57,$C$4:$C$102,C57,$L$4:$L$102,"Primary"),""),"")</x:f>
        <x:v>0.5827207968209077</x:v>
      </x:c>
      <x:c r="I57" s="16" t="str">
        <x:v>Official standardized</x:v>
      </x:c>
      <x:c r="J57" s="16" t="str">
        <x:v>https://www.education.gov.au/download/19832/finance-2024-financial-reports-higher-education-providers/43010/2024-higher-education-providers-finance-tables/csv</x:v>
      </x:c>
      <x:c r="K57" s="16" t="str"/>
      <x:c r="L57" s="16" t="str">
        <x:v>Primary</x:v>
      </x:c>
    </x:row>
    <x:row r="58">
      <x:c r="A58" s="16" t="n">
        <x:v>28</x:v>
      </x:c>
      <x:c r="B58" s="16" t="str">
        <x:v>The University of Sydney</x:v>
      </x:c>
      <x:c r="C58" s="16" t="str">
        <x:v>FY2024</x:v>
      </x:c>
      <x:c r="D58" s="16" t="str">
        <x:v>AUD</x:v>
      </x:c>
      <x:c r="E58" s="16" t="str">
        <x:v>Impairment of assets</x:v>
      </x:c>
      <x:c r="F58" s="48" t="n">
        <x:v>13.425</x:v>
      </x:c>
      <x:c r="G58" s="58"/>
      <x:c r="H58" s="59" t="n">
        <x:f>IF(L58="Primary",IFERROR(F58/SUMIFS($F$4:$F$102,$B$4:$B$102,B58,$C$4:$C$102,C58,$L$4:$L$102,"Primary"),""),"")</x:f>
        <x:v>0.004019373229267743</x:v>
      </x:c>
      <x:c r="I58" s="16" t="str">
        <x:v>Official standardized</x:v>
      </x:c>
      <x:c r="J58" s="16" t="str">
        <x:v>https://www.education.gov.au/download/19832/finance-2024-financial-reports-higher-education-providers/43010/2024-higher-education-providers-finance-tables/csv</x:v>
      </x:c>
      <x:c r="K58" s="16" t="str"/>
      <x:c r="L58" s="16" t="str">
        <x:v>Primary</x:v>
      </x:c>
    </x:row>
    <x:row r="59">
      <x:c r="A59" s="16" t="n">
        <x:v>28</x:v>
      </x:c>
      <x:c r="B59" s="16" t="str">
        <x:v>The University of Sydney</x:v>
      </x:c>
      <x:c r="C59" s="16" t="str">
        <x:v>FY2024</x:v>
      </x:c>
      <x:c r="D59" s="16" t="str">
        <x:v>AUD</x:v>
      </x:c>
      <x:c r="E59" s="16" t="str">
        <x:v>Investment losses</x:v>
      </x:c>
      <x:c r="F59" s="48" t="n">
        <x:v>0</x:v>
      </x:c>
      <x:c r="G59" s="58"/>
      <x:c r="H59" s="59" t="n">
        <x:f>IF(L59="Primary",IFERROR(F59/SUMIFS($F$4:$F$102,$B$4:$B$102,B59,$C$4:$C$102,C59,$L$4:$L$102,"Primary"),""),"")</x:f>
        <x:v>0</x:v>
      </x:c>
      <x:c r="I59" s="16" t="str">
        <x:v>Official standardized</x:v>
      </x:c>
      <x:c r="J59" s="16" t="str">
        <x:v>https://www.education.gov.au/download/19832/finance-2024-financial-reports-higher-education-providers/43010/2024-higher-education-providers-finance-tables/csv</x:v>
      </x:c>
      <x:c r="K59" s="16" t="str"/>
      <x:c r="L59" s="16" t="str">
        <x:v>Primary</x:v>
      </x:c>
    </x:row>
    <x:row r="60">
      <x:c r="A60" s="16" t="n">
        <x:v>28</x:v>
      </x:c>
      <x:c r="B60" s="16" t="str">
        <x:v>The University of Sydney</x:v>
      </x:c>
      <x:c r="C60" s="16" t="str">
        <x:v>FY2024</x:v>
      </x:c>
      <x:c r="D60" s="16" t="str">
        <x:v>AUD</x:v>
      </x:c>
      <x:c r="E60" s="16" t="str">
        <x:v>Other expenses</x:v>
      </x:c>
      <x:c r="F60" s="48" t="n">
        <x:v>990.784</x:v>
      </x:c>
      <x:c r="G60" s="58"/>
      <x:c r="H60" s="59" t="n">
        <x:f>IF(L60="Primary",IFERROR(F60/SUMIFS($F$4:$F$102,$B$4:$B$102,B60,$C$4:$C$102,C60,$L$4:$L$102,"Primary"),""),"")</x:f>
        <x:v>0.2966354328183845</x:v>
      </x:c>
      <x:c r="I60" s="16" t="str">
        <x:v>Official standardized</x:v>
      </x:c>
      <x:c r="J60" s="16" t="str">
        <x:v>https://www.education.gov.au/download/19832/finance-2024-financial-reports-higher-education-providers/43010/2024-higher-education-providers-finance-tables/csv</x:v>
      </x:c>
      <x:c r="K60" s="16" t="str"/>
      <x:c r="L60" s="16" t="str">
        <x:v>Primary</x:v>
      </x:c>
    </x:row>
    <x:row r="61">
      <x:c r="A61" s="16" t="n">
        <x:v>28</x:v>
      </x:c>
      <x:c r="B61" s="16" t="str">
        <x:v>The University of Sydney</x:v>
      </x:c>
      <x:c r="C61" s="16" t="str">
        <x:v>FY2024</x:v>
      </x:c>
      <x:c r="D61" s="16" t="str">
        <x:v>AUD</x:v>
      </x:c>
      <x:c r="E61" s="16" t="str">
        <x:v>Repairs &amp; maintenance</x:v>
      </x:c>
      <x:c r="F61" s="48" t="n">
        <x:v>168.811</x:v>
      </x:c>
      <x:c r="G61" s="58"/>
      <x:c r="H61" s="59" t="n">
        <x:f>IF(L61="Primary",IFERROR(F61/SUMIFS($F$4:$F$102,$B$4:$B$102,B61,$C$4:$C$102,C61,$L$4:$L$102,"Primary"),""),"")</x:f>
        <x:v>0.05054111092781505</x:v>
      </x:c>
      <x:c r="I61" s="16" t="str">
        <x:v>Official standardized</x:v>
      </x:c>
      <x:c r="J61" s="16" t="str">
        <x:v>https://www.education.gov.au/download/19832/finance-2024-financial-reports-higher-education-providers/43010/2024-higher-education-providers-finance-tables/csv</x:v>
      </x:c>
      <x:c r="K61" s="16" t="str"/>
      <x:c r="L61" s="16" t="str">
        <x:v>Primary</x:v>
      </x:c>
    </x:row>
    <x:row r="62">
      <x:c r="A62" s="16" t="n">
        <x:v>28</x:v>
      </x:c>
      <x:c r="B62" s="16" t="str">
        <x:v>The University of Sydney</x:v>
      </x:c>
      <x:c r="C62" s="16" t="str">
        <x:v>FY2024</x:v>
      </x:c>
      <x:c r="D62" s="16" t="str">
        <x:v>AUD</x:v>
      </x:c>
      <x:c r="E62" s="16" t="str">
        <x:v>Scholarships, grants &amp; prizes (subset of other expenses)</x:v>
      </x:c>
      <x:c r="F62" s="48" t="n">
        <x:v>186.297</x:v>
      </x:c>
      <x:c r="G62" s="58"/>
      <x:c r="H62" s="59" t="str">
        <x:f>IF(L62="Primary",IFERROR(F62/SUMIFS($F$4:$F$102,$B$4:$B$102,B62,$C$4:$C$102,C62,$L$4:$L$102,"Primary"),""),"")</x:f>
      </x:c>
      <x:c r="I62" s="16" t="str">
        <x:v>Supplemental subset - do not sum</x:v>
      </x:c>
      <x:c r="J62" s="16" t="str">
        <x:v>https://www.education.gov.au/download/19832/finance-2024-financial-reports-higher-education-providers/43010/2024-higher-education-providers-finance-tables/csv</x:v>
      </x:c>
      <x:c r="K62" s="16" t="str">
        <x:v>Subset/detail metric; do not add to top-level expense mix.</x:v>
      </x:c>
      <x:c r="L62" s="16" t="str">
        <x:v>Supplemental</x:v>
      </x:c>
    </x:row>
    <x:row r="63">
      <x:c r="A63" s="16" t="n">
        <x:v>29</x:v>
      </x:c>
      <x:c r="B63" s="16" t="str">
        <x:v>Australian National University (ANU)</x:v>
      </x:c>
      <x:c r="C63" s="16" t="str">
        <x:v>FY2024</x:v>
      </x:c>
      <x:c r="D63" s="16" t="str">
        <x:v>AUD</x:v>
      </x:c>
      <x:c r="E63" s="16" t="str">
        <x:v>Borrowing costs</x:v>
      </x:c>
      <x:c r="F63" s="48" t="n">
        <x:v>11.904</x:v>
      </x:c>
      <x:c r="G63" s="58"/>
      <x:c r="H63" s="59" t="n">
        <x:f>IF(L63="Primary",IFERROR(F63/SUMIFS($F$4:$F$102,$B$4:$B$102,B63,$C$4:$C$102,C63,$L$4:$L$102,"Primary"),""),"")</x:f>
        <x:v>0.00797783042419084</x:v>
      </x:c>
      <x:c r="I63" s="16" t="str">
        <x:v>Official standardized</x:v>
      </x:c>
      <x:c r="J63" s="16" t="str">
        <x:v>https://www.education.gov.au/download/19832/finance-2024-financial-reports-higher-education-providers/43010/2024-higher-education-providers-finance-tables/csv</x:v>
      </x:c>
      <x:c r="K63" s="16" t="str"/>
      <x:c r="L63" s="16" t="str">
        <x:v>Primary</x:v>
      </x:c>
    </x:row>
    <x:row r="64">
      <x:c r="A64" s="16" t="n">
        <x:v>29</x:v>
      </x:c>
      <x:c r="B64" s="16" t="str">
        <x:v>Australian National University (ANU)</x:v>
      </x:c>
      <x:c r="C64" s="16" t="str">
        <x:v>FY2024</x:v>
      </x:c>
      <x:c r="D64" s="16" t="str">
        <x:v>AUD</x:v>
      </x:c>
      <x:c r="E64" s="16" t="str">
        <x:v>Depreciation &amp; amortisation</x:v>
      </x:c>
      <x:c r="F64" s="48" t="n">
        <x:v>137.226</x:v>
      </x:c>
      <x:c r="G64" s="58"/>
      <x:c r="H64" s="59" t="n">
        <x:f>IF(L64="Primary",IFERROR(F64/SUMIFS($F$4:$F$102,$B$4:$B$102,B64,$C$4:$C$102,C64,$L$4:$L$102,"Primary"),""),"")</x:f>
        <x:v>0.09196620949176851</x:v>
      </x:c>
      <x:c r="I64" s="16" t="str">
        <x:v>Official standardized</x:v>
      </x:c>
      <x:c r="J64" s="16" t="str">
        <x:v>https://www.education.gov.au/download/19832/finance-2024-financial-reports-higher-education-providers/43010/2024-higher-education-providers-finance-tables/csv</x:v>
      </x:c>
      <x:c r="K64" s="16" t="str"/>
      <x:c r="L64" s="16" t="str">
        <x:v>Primary</x:v>
      </x:c>
    </x:row>
    <x:row r="65">
      <x:c r="A65" s="16" t="n">
        <x:v>29</x:v>
      </x:c>
      <x:c r="B65" s="16" t="str">
        <x:v>Australian National University (ANU)</x:v>
      </x:c>
      <x:c r="C65" s="16" t="str">
        <x:v>FY2024</x:v>
      </x:c>
      <x:c r="D65" s="16" t="str">
        <x:v>AUD</x:v>
      </x:c>
      <x:c r="E65" s="16" t="str">
        <x:v>Employee-related expenses</x:v>
      </x:c>
      <x:c r="F65" s="48" t="n">
        <x:v>837.172</x:v>
      </x:c>
      <x:c r="G65" s="58"/>
      <x:c r="H65" s="59" t="n">
        <x:f>IF(L65="Primary",IFERROR(F65/SUMIFS($F$4:$F$102,$B$4:$B$102,B65,$C$4:$C$102,C65,$L$4:$L$102,"Primary"),""),"")</x:f>
        <x:v>0.5610564727722358</x:v>
      </x:c>
      <x:c r="I65" s="16" t="str">
        <x:v>Official standardized</x:v>
      </x:c>
      <x:c r="J65" s="16" t="str">
        <x:v>https://www.education.gov.au/download/19832/finance-2024-financial-reports-higher-education-providers/43010/2024-higher-education-providers-finance-tables/csv</x:v>
      </x:c>
      <x:c r="K65" s="16" t="str"/>
      <x:c r="L65" s="16" t="str">
        <x:v>Primary</x:v>
      </x:c>
    </x:row>
    <x:row r="66">
      <x:c r="A66" s="16" t="n">
        <x:v>29</x:v>
      </x:c>
      <x:c r="B66" s="16" t="str">
        <x:v>Australian National University (ANU)</x:v>
      </x:c>
      <x:c r="C66" s="16" t="str">
        <x:v>FY2024</x:v>
      </x:c>
      <x:c r="D66" s="16" t="str">
        <x:v>AUD</x:v>
      </x:c>
      <x:c r="E66" s="16" t="str">
        <x:v>Impairment of assets</x:v>
      </x:c>
      <x:c r="F66" s="48" t="n">
        <x:v>2.347</x:v>
      </x:c>
      <x:c r="G66" s="58"/>
      <x:c r="H66" s="59" t="n">
        <x:f>IF(L66="Primary",IFERROR(F66/SUMIFS($F$4:$F$102,$B$4:$B$102,B66,$C$4:$C$102,C66,$L$4:$L$102,"Primary"),""),"")</x:f>
        <x:v>0.0015729139789630296</x:v>
      </x:c>
      <x:c r="I66" s="16" t="str">
        <x:v>Official standardized</x:v>
      </x:c>
      <x:c r="J66" s="16" t="str">
        <x:v>https://www.education.gov.au/download/19832/finance-2024-financial-reports-higher-education-providers/43010/2024-higher-education-providers-finance-tables/csv</x:v>
      </x:c>
      <x:c r="K66" s="16" t="str"/>
      <x:c r="L66" s="16" t="str">
        <x:v>Primary</x:v>
      </x:c>
    </x:row>
    <x:row r="67">
      <x:c r="A67" s="16" t="n">
        <x:v>29</x:v>
      </x:c>
      <x:c r="B67" s="16" t="str">
        <x:v>Australian National University (ANU)</x:v>
      </x:c>
      <x:c r="C67" s="16" t="str">
        <x:v>FY2024</x:v>
      </x:c>
      <x:c r="D67" s="16" t="str">
        <x:v>AUD</x:v>
      </x:c>
      <x:c r="E67" s="16" t="str">
        <x:v>Investment losses</x:v>
      </x:c>
      <x:c r="F67" s="48" t="n">
        <x:v>0</x:v>
      </x:c>
      <x:c r="G67" s="58"/>
      <x:c r="H67" s="59" t="n">
        <x:f>IF(L67="Primary",IFERROR(F67/SUMIFS($F$4:$F$102,$B$4:$B$102,B67,$C$4:$C$102,C67,$L$4:$L$102,"Primary"),""),"")</x:f>
        <x:v>0</x:v>
      </x:c>
      <x:c r="I67" s="16" t="str">
        <x:v>Official standardized</x:v>
      </x:c>
      <x:c r="J67" s="16" t="str">
        <x:v>https://www.education.gov.au/download/19832/finance-2024-financial-reports-higher-education-providers/43010/2024-higher-education-providers-finance-tables/csv</x:v>
      </x:c>
      <x:c r="K67" s="16" t="str"/>
      <x:c r="L67" s="16" t="str">
        <x:v>Primary</x:v>
      </x:c>
    </x:row>
    <x:row r="68">
      <x:c r="A68" s="16" t="n">
        <x:v>29</x:v>
      </x:c>
      <x:c r="B68" s="16" t="str">
        <x:v>Australian National University (ANU)</x:v>
      </x:c>
      <x:c r="C68" s="16" t="str">
        <x:v>FY2024</x:v>
      </x:c>
      <x:c r="D68" s="16" t="str">
        <x:v>AUD</x:v>
      </x:c>
      <x:c r="E68" s="16" t="str">
        <x:v>Other expenses</x:v>
      </x:c>
      <x:c r="F68" s="48" t="n">
        <x:v>457.06</x:v>
      </x:c>
      <x:c r="G68" s="58"/>
      <x:c r="H68" s="59" t="n">
        <x:f>IF(L68="Primary",IFERROR(F68/SUMIFS($F$4:$F$102,$B$4:$B$102,B68,$C$4:$C$102,C68,$L$4:$L$102,"Primary"),""),"")</x:f>
        <x:v>0.30631276660623874</x:v>
      </x:c>
      <x:c r="I68" s="16" t="str">
        <x:v>Official standardized</x:v>
      </x:c>
      <x:c r="J68" s="16" t="str">
        <x:v>https://www.education.gov.au/download/19832/finance-2024-financial-reports-higher-education-providers/43010/2024-higher-education-providers-finance-tables/csv</x:v>
      </x:c>
      <x:c r="K68" s="16" t="str"/>
      <x:c r="L68" s="16" t="str">
        <x:v>Primary</x:v>
      </x:c>
    </x:row>
    <x:row r="69">
      <x:c r="A69" s="16" t="n">
        <x:v>29</x:v>
      </x:c>
      <x:c r="B69" s="16" t="str">
        <x:v>Australian National University (ANU)</x:v>
      </x:c>
      <x:c r="C69" s="16" t="str">
        <x:v>FY2024</x:v>
      </x:c>
      <x:c r="D69" s="16" t="str">
        <x:v>AUD</x:v>
      </x:c>
      <x:c r="E69" s="16" t="str">
        <x:v>Repairs &amp; maintenance</x:v>
      </x:c>
      <x:c r="F69" s="48" t="n">
        <x:v>46.426</x:v>
      </x:c>
      <x:c r="G69" s="58"/>
      <x:c r="H69" s="59" t="n">
        <x:f>IF(L69="Primary",IFERROR(F69/SUMIFS($F$4:$F$102,$B$4:$B$102,B69,$C$4:$C$102,C69,$L$4:$L$102,"Primary"),""),"")</x:f>
        <x:v>0.031113806726603157</x:v>
      </x:c>
      <x:c r="I69" s="16" t="str">
        <x:v>Official standardized</x:v>
      </x:c>
      <x:c r="J69" s="16" t="str">
        <x:v>https://www.education.gov.au/download/19832/finance-2024-financial-reports-higher-education-providers/43010/2024-higher-education-providers-finance-tables/csv</x:v>
      </x:c>
      <x:c r="K69" s="16" t="str"/>
      <x:c r="L69" s="16" t="str">
        <x:v>Primary</x:v>
      </x:c>
    </x:row>
    <x:row r="70">
      <x:c r="A70" s="16" t="n">
        <x:v>29</x:v>
      </x:c>
      <x:c r="B70" s="16" t="str">
        <x:v>Australian National University (ANU)</x:v>
      </x:c>
      <x:c r="C70" s="16" t="str">
        <x:v>FY2024</x:v>
      </x:c>
      <x:c r="D70" s="16" t="str">
        <x:v>AUD</x:v>
      </x:c>
      <x:c r="E70" s="16" t="str">
        <x:v>Scholarships, grants &amp; prizes (subset of other expenses)</x:v>
      </x:c>
      <x:c r="F70" s="48" t="n">
        <x:v>78.428</x:v>
      </x:c>
      <x:c r="G70" s="58"/>
      <x:c r="H70" s="59" t="str">
        <x:f>IF(L70="Primary",IFERROR(F70/SUMIFS($F$4:$F$102,$B$4:$B$102,B70,$C$4:$C$102,C70,$L$4:$L$102,"Primary"),""),"")</x:f>
      </x:c>
      <x:c r="I70" s="16" t="str">
        <x:v>Supplemental subset - do not sum</x:v>
      </x:c>
      <x:c r="J70" s="16" t="str">
        <x:v>https://www.education.gov.au/download/19832/finance-2024-financial-reports-higher-education-providers/43010/2024-higher-education-providers-finance-tables/csv</x:v>
      </x:c>
      <x:c r="K70" s="16" t="str">
        <x:v>Subset/detail metric; do not add to top-level expense mix.</x:v>
      </x:c>
      <x:c r="L70" s="16" t="str">
        <x:v>Supplemental</x:v>
      </x:c>
    </x:row>
    <x:row r="71">
      <x:c r="A71" s="16" t="n">
        <x:v>31</x:v>
      </x:c>
      <x:c r="B71" s="16" t="str">
        <x:v>Monash University</x:v>
      </x:c>
      <x:c r="C71" s="16" t="str">
        <x:v>FY2024</x:v>
      </x:c>
      <x:c r="D71" s="16" t="str">
        <x:v>AUD</x:v>
      </x:c>
      <x:c r="E71" s="16" t="str">
        <x:v>Borrowing costs</x:v>
      </x:c>
      <x:c r="F71" s="48" t="n">
        <x:v>51.976</x:v>
      </x:c>
      <x:c r="G71" s="58"/>
      <x:c r="H71" s="59" t="n">
        <x:f>IF(L71="Primary",IFERROR(F71/SUMIFS($F$4:$F$102,$B$4:$B$102,B71,$C$4:$C$102,C71,$L$4:$L$102,"Primary"),""),"")</x:f>
        <x:v>0.015855042401317795</x:v>
      </x:c>
      <x:c r="I71" s="16" t="str">
        <x:v>Official standardized</x:v>
      </x:c>
      <x:c r="J71" s="16" t="str">
        <x:v>https://www.education.gov.au/download/19832/finance-2024-financial-reports-higher-education-providers/43010/2024-higher-education-providers-finance-tables/csv</x:v>
      </x:c>
      <x:c r="K71" s="16" t="str"/>
      <x:c r="L71" s="16" t="str">
        <x:v>Primary</x:v>
      </x:c>
    </x:row>
    <x:row r="72">
      <x:c r="A72" s="16" t="n">
        <x:v>31</x:v>
      </x:c>
      <x:c r="B72" s="16" t="str">
        <x:v>Monash University</x:v>
      </x:c>
      <x:c r="C72" s="16" t="str">
        <x:v>FY2024</x:v>
      </x:c>
      <x:c r="D72" s="16" t="str">
        <x:v>AUD</x:v>
      </x:c>
      <x:c r="E72" s="16" t="str">
        <x:v>Depreciation &amp; amortisation</x:v>
      </x:c>
      <x:c r="F72" s="48" t="n">
        <x:v>205.287</x:v>
      </x:c>
      <x:c r="G72" s="58"/>
      <x:c r="H72" s="59" t="n">
        <x:f>IF(L72="Primary",IFERROR(F72/SUMIFS($F$4:$F$102,$B$4:$B$102,B72,$C$4:$C$102,C72,$L$4:$L$102,"Primary"),""),"")</x:f>
        <x:v>0.06262186565798304</x:v>
      </x:c>
      <x:c r="I72" s="16" t="str">
        <x:v>Official standardized</x:v>
      </x:c>
      <x:c r="J72" s="16" t="str">
        <x:v>https://www.education.gov.au/download/19832/finance-2024-financial-reports-higher-education-providers/43010/2024-higher-education-providers-finance-tables/csv</x:v>
      </x:c>
      <x:c r="K72" s="16" t="str"/>
      <x:c r="L72" s="16" t="str">
        <x:v>Primary</x:v>
      </x:c>
    </x:row>
    <x:row r="73">
      <x:c r="A73" s="16" t="n">
        <x:v>31</x:v>
      </x:c>
      <x:c r="B73" s="16" t="str">
        <x:v>Monash University</x:v>
      </x:c>
      <x:c r="C73" s="16" t="str">
        <x:v>FY2024</x:v>
      </x:c>
      <x:c r="D73" s="16" t="str">
        <x:v>AUD</x:v>
      </x:c>
      <x:c r="E73" s="16" t="str">
        <x:v>Employee-related expenses</x:v>
      </x:c>
      <x:c r="F73" s="48" t="n">
        <x:v>1600.363</x:v>
      </x:c>
      <x:c r="G73" s="58"/>
      <x:c r="H73" s="59" t="n">
        <x:f>IF(L73="Primary",IFERROR(F73/SUMIFS($F$4:$F$102,$B$4:$B$102,B73,$C$4:$C$102,C73,$L$4:$L$102,"Primary"),""),"")</x:f>
        <x:v>0.48818345433469584</x:v>
      </x:c>
      <x:c r="I73" s="16" t="str">
        <x:v>Official standardized</x:v>
      </x:c>
      <x:c r="J73" s="16" t="str">
        <x:v>https://www.education.gov.au/download/19832/finance-2024-financial-reports-higher-education-providers/43010/2024-higher-education-providers-finance-tables/csv</x:v>
      </x:c>
      <x:c r="K73" s="16" t="str"/>
      <x:c r="L73" s="16" t="str">
        <x:v>Primary</x:v>
      </x:c>
    </x:row>
    <x:row r="74">
      <x:c r="A74" s="16" t="n">
        <x:v>31</x:v>
      </x:c>
      <x:c r="B74" s="16" t="str">
        <x:v>Monash University</x:v>
      </x:c>
      <x:c r="C74" s="16" t="str">
        <x:v>FY2024</x:v>
      </x:c>
      <x:c r="D74" s="16" t="str">
        <x:v>AUD</x:v>
      </x:c>
      <x:c r="E74" s="16" t="str">
        <x:v>Impairment of assets</x:v>
      </x:c>
      <x:c r="F74" s="48" t="n">
        <x:v>24.048</x:v>
      </x:c>
      <x:c r="G74" s="58"/>
      <x:c r="H74" s="59" t="n">
        <x:f>IF(L74="Primary",IFERROR(F74/SUMIFS($F$4:$F$102,$B$4:$B$102,B74,$C$4:$C$102,C74,$L$4:$L$102,"Primary"),""),"")</x:f>
        <x:v>0.007335733024220608</x:v>
      </x:c>
      <x:c r="I74" s="16" t="str">
        <x:v>Official standardized</x:v>
      </x:c>
      <x:c r="J74" s="16" t="str">
        <x:v>https://www.education.gov.au/download/19832/finance-2024-financial-reports-higher-education-providers/43010/2024-higher-education-providers-finance-tables/csv</x:v>
      </x:c>
      <x:c r="K74" s="16" t="str"/>
      <x:c r="L74" s="16" t="str">
        <x:v>Primary</x:v>
      </x:c>
    </x:row>
    <x:row r="75">
      <x:c r="A75" s="16" t="n">
        <x:v>31</x:v>
      </x:c>
      <x:c r="B75" s="16" t="str">
        <x:v>Monash University</x:v>
      </x:c>
      <x:c r="C75" s="16" t="str">
        <x:v>FY2024</x:v>
      </x:c>
      <x:c r="D75" s="16" t="str">
        <x:v>AUD</x:v>
      </x:c>
      <x:c r="E75" s="16" t="str">
        <x:v>Investment losses</x:v>
      </x:c>
      <x:c r="F75" s="48" t="n">
        <x:v>0</x:v>
      </x:c>
      <x:c r="G75" s="58"/>
      <x:c r="H75" s="59" t="n">
        <x:f>IF(L75="Primary",IFERROR(F75/SUMIFS($F$4:$F$102,$B$4:$B$102,B75,$C$4:$C$102,C75,$L$4:$L$102,"Primary"),""),"")</x:f>
        <x:v>0</x:v>
      </x:c>
      <x:c r="I75" s="16" t="str">
        <x:v>Official standardized</x:v>
      </x:c>
      <x:c r="J75" s="16" t="str">
        <x:v>https://www.education.gov.au/download/19832/finance-2024-financial-reports-higher-education-providers/43010/2024-higher-education-providers-finance-tables/csv</x:v>
      </x:c>
      <x:c r="K75" s="16" t="str"/>
      <x:c r="L75" s="16" t="str">
        <x:v>Primary</x:v>
      </x:c>
    </x:row>
    <x:row r="76">
      <x:c r="A76" s="16" t="n">
        <x:v>31</x:v>
      </x:c>
      <x:c r="B76" s="16" t="str">
        <x:v>Monash University</x:v>
      </x:c>
      <x:c r="C76" s="16" t="str">
        <x:v>FY2024</x:v>
      </x:c>
      <x:c r="D76" s="16" t="str">
        <x:v>AUD</x:v>
      </x:c>
      <x:c r="E76" s="16" t="str">
        <x:v>Other expenses</x:v>
      </x:c>
      <x:c r="F76" s="48" t="n">
        <x:v>1337.044</x:v>
      </x:c>
      <x:c r="G76" s="58"/>
      <x:c r="H76" s="59" t="n">
        <x:f>IF(L76="Primary",IFERROR(F76/SUMIFS($F$4:$F$102,$B$4:$B$102,B76,$C$4:$C$102,C76,$L$4:$L$102,"Primary"),""),"")</x:f>
        <x:v>0.4078591910194619</x:v>
      </x:c>
      <x:c r="I76" s="16" t="str">
        <x:v>Official standardized</x:v>
      </x:c>
      <x:c r="J76" s="16" t="str">
        <x:v>https://www.education.gov.au/download/19832/finance-2024-financial-reports-higher-education-providers/43010/2024-higher-education-providers-finance-tables/csv</x:v>
      </x:c>
      <x:c r="K76" s="16" t="str"/>
      <x:c r="L76" s="16" t="str">
        <x:v>Primary</x:v>
      </x:c>
    </x:row>
    <x:row r="77">
      <x:c r="A77" s="16" t="n">
        <x:v>31</x:v>
      </x:c>
      <x:c r="B77" s="16" t="str">
        <x:v>Monash University</x:v>
      </x:c>
      <x:c r="C77" s="16" t="str">
        <x:v>FY2024</x:v>
      </x:c>
      <x:c r="D77" s="16" t="str">
        <x:v>AUD</x:v>
      </x:c>
      <x:c r="E77" s="16" t="str">
        <x:v>Repairs &amp; maintenance</x:v>
      </x:c>
      <x:c r="F77" s="48" t="n">
        <x:v>59.482</x:v>
      </x:c>
      <x:c r="G77" s="58"/>
      <x:c r="H77" s="59" t="n">
        <x:f>IF(L77="Primary",IFERROR(F77/SUMIFS($F$4:$F$102,$B$4:$B$102,B77,$C$4:$C$102,C77,$L$4:$L$102,"Primary"),""),"")</x:f>
        <x:v>0.018144713562320784</x:v>
      </x:c>
      <x:c r="I77" s="16" t="str">
        <x:v>Official standardized</x:v>
      </x:c>
      <x:c r="J77" s="16" t="str">
        <x:v>https://www.education.gov.au/download/19832/finance-2024-financial-reports-higher-education-providers/43010/2024-higher-education-providers-finance-tables/csv</x:v>
      </x:c>
      <x:c r="K77" s="16" t="str"/>
      <x:c r="L77" s="16" t="str">
        <x:v>Primary</x:v>
      </x:c>
    </x:row>
    <x:row r="78">
      <x:c r="A78" s="16" t="n">
        <x:v>31</x:v>
      </x:c>
      <x:c r="B78" s="16" t="str">
        <x:v>Monash University</x:v>
      </x:c>
      <x:c r="C78" s="16" t="str">
        <x:v>FY2024</x:v>
      </x:c>
      <x:c r="D78" s="16" t="str">
        <x:v>AUD</x:v>
      </x:c>
      <x:c r="E78" s="16" t="str">
        <x:v>Scholarships, grants &amp; prizes (subset of other expenses)</x:v>
      </x:c>
      <x:c r="F78" s="48" t="n">
        <x:v>462.757</x:v>
      </x:c>
      <x:c r="G78" s="58"/>
      <x:c r="H78" s="59" t="str">
        <x:f>IF(L78="Primary",IFERROR(F78/SUMIFS($F$4:$F$102,$B$4:$B$102,B78,$C$4:$C$102,C78,$L$4:$L$102,"Primary"),""),"")</x:f>
      </x:c>
      <x:c r="I78" s="16" t="str">
        <x:v>Supplemental subset - do not sum</x:v>
      </x:c>
      <x:c r="J78" s="16" t="str">
        <x:v>https://www.education.gov.au/download/19832/finance-2024-financial-reports-higher-education-providers/43010/2024-higher-education-providers-finance-tables/csv</x:v>
      </x:c>
      <x:c r="K78" s="16" t="str">
        <x:v>Subset/detail metric; do not add to top-level expense mix.</x:v>
      </x:c>
      <x:c r="L78" s="16" t="str">
        <x:v>Supplemental</x:v>
      </x:c>
    </x:row>
    <x:row r="79">
      <x:c r="A79" s="16" t="n">
        <x:v>40</x:v>
      </x:c>
      <x:c r="B79" s="16" t="str">
        <x:v>The University of Queensland</x:v>
      </x:c>
      <x:c r="C79" s="16" t="str">
        <x:v>FY2024</x:v>
      </x:c>
      <x:c r="D79" s="16" t="str">
        <x:v>AUD</x:v>
      </x:c>
      <x:c r="E79" s="16" t="str">
        <x:v>Borrowing costs</x:v>
      </x:c>
      <x:c r="F79" s="48" t="n">
        <x:v>19.078</x:v>
      </x:c>
      <x:c r="G79" s="58"/>
      <x:c r="H79" s="59" t="n">
        <x:f>IF(L79="Primary",IFERROR(F79/SUMIFS($F$4:$F$102,$B$4:$B$102,B79,$C$4:$C$102,C79,$L$4:$L$102,"Primary"),""),"")</x:f>
        <x:v>0.00788807353712166</x:v>
      </x:c>
      <x:c r="I79" s="16" t="str">
        <x:v>Official standardized</x:v>
      </x:c>
      <x:c r="J79" s="16" t="str">
        <x:v>https://www.education.gov.au/download/19832/finance-2024-financial-reports-higher-education-providers/43010/2024-higher-education-providers-finance-tables/csv</x:v>
      </x:c>
      <x:c r="K79" s="16" t="str"/>
      <x:c r="L79" s="16" t="str">
        <x:v>Primary</x:v>
      </x:c>
    </x:row>
    <x:row r="80">
      <x:c r="A80" s="16" t="n">
        <x:v>40</x:v>
      </x:c>
      <x:c r="B80" s="16" t="str">
        <x:v>The University of Queensland</x:v>
      </x:c>
      <x:c r="C80" s="16" t="str">
        <x:v>FY2024</x:v>
      </x:c>
      <x:c r="D80" s="16" t="str">
        <x:v>AUD</x:v>
      </x:c>
      <x:c r="E80" s="16" t="str">
        <x:v>Depreciation &amp; amortisation</x:v>
      </x:c>
      <x:c r="F80" s="48" t="n">
        <x:v>192.518</x:v>
      </x:c>
      <x:c r="G80" s="58"/>
      <x:c r="H80" s="59" t="n">
        <x:f>IF(L80="Primary",IFERROR(F80/SUMIFS($F$4:$F$102,$B$4:$B$102,B80,$C$4:$C$102,C80,$L$4:$L$102,"Primary"),""),"")</x:f>
        <x:v>0.07959933647235495</x:v>
      </x:c>
      <x:c r="I80" s="16" t="str">
        <x:v>Official standardized</x:v>
      </x:c>
      <x:c r="J80" s="16" t="str">
        <x:v>https://www.education.gov.au/download/19832/finance-2024-financial-reports-higher-education-providers/43010/2024-higher-education-providers-finance-tables/csv</x:v>
      </x:c>
      <x:c r="K80" s="16" t="str"/>
      <x:c r="L80" s="16" t="str">
        <x:v>Primary</x:v>
      </x:c>
    </x:row>
    <x:row r="81">
      <x:c r="A81" s="16" t="n">
        <x:v>40</x:v>
      </x:c>
      <x:c r="B81" s="16" t="str">
        <x:v>The University of Queensland</x:v>
      </x:c>
      <x:c r="C81" s="16" t="str">
        <x:v>FY2024</x:v>
      </x:c>
      <x:c r="D81" s="16" t="str">
        <x:v>AUD</x:v>
      </x:c>
      <x:c r="E81" s="16" t="str">
        <x:v>Employee-related expenses</x:v>
      </x:c>
      <x:c r="F81" s="48" t="n">
        <x:v>1341.684</x:v>
      </x:c>
      <x:c r="G81" s="58"/>
      <x:c r="H81" s="59" t="n">
        <x:f>IF(L81="Primary",IFERROR(F81/SUMIFS($F$4:$F$102,$B$4:$B$102,B81,$C$4:$C$102,C81,$L$4:$L$102,"Primary"),""),"")</x:f>
        <x:v>0.5547385499307861</x:v>
      </x:c>
      <x:c r="I81" s="16" t="str">
        <x:v>Official standardized</x:v>
      </x:c>
      <x:c r="J81" s="16" t="str">
        <x:v>https://www.education.gov.au/download/19832/finance-2024-financial-reports-higher-education-providers/43010/2024-higher-education-providers-finance-tables/csv</x:v>
      </x:c>
      <x:c r="K81" s="16" t="str"/>
      <x:c r="L81" s="16" t="str">
        <x:v>Primary</x:v>
      </x:c>
    </x:row>
    <x:row r="82">
      <x:c r="A82" s="16" t="n">
        <x:v>40</x:v>
      </x:c>
      <x:c r="B82" s="16" t="str">
        <x:v>The University of Queensland</x:v>
      </x:c>
      <x:c r="C82" s="16" t="str">
        <x:v>FY2024</x:v>
      </x:c>
      <x:c r="D82" s="16" t="str">
        <x:v>AUD</x:v>
      </x:c>
      <x:c r="E82" s="16" t="str">
        <x:v>Impairment of assets</x:v>
      </x:c>
      <x:c r="F82" s="48" t="n">
        <x:v>3.799</x:v>
      </x:c>
      <x:c r="G82" s="58"/>
      <x:c r="H82" s="59" t="n">
        <x:f>IF(L82="Primary",IFERROR(F82/SUMIFS($F$4:$F$102,$B$4:$B$102,B82,$C$4:$C$102,C82,$L$4:$L$102,"Primary"),""),"")</x:f>
        <x:v>0.0015707511986332522</x:v>
      </x:c>
      <x:c r="I82" s="16" t="str">
        <x:v>Official standardized</x:v>
      </x:c>
      <x:c r="J82" s="16" t="str">
        <x:v>https://www.education.gov.au/download/19832/finance-2024-financial-reports-higher-education-providers/43010/2024-higher-education-providers-finance-tables/csv</x:v>
      </x:c>
      <x:c r="K82" s="16" t="str"/>
      <x:c r="L82" s="16" t="str">
        <x:v>Primary</x:v>
      </x:c>
    </x:row>
    <x:row r="83">
      <x:c r="A83" s="16" t="n">
        <x:v>40</x:v>
      </x:c>
      <x:c r="B83" s="16" t="str">
        <x:v>The University of Queensland</x:v>
      </x:c>
      <x:c r="C83" s="16" t="str">
        <x:v>FY2024</x:v>
      </x:c>
      <x:c r="D83" s="16" t="str">
        <x:v>AUD</x:v>
      </x:c>
      <x:c r="E83" s="16" t="str">
        <x:v>Investment losses</x:v>
      </x:c>
      <x:c r="F83" s="48" t="n">
        <x:v>0</x:v>
      </x:c>
      <x:c r="G83" s="58"/>
      <x:c r="H83" s="59" t="n">
        <x:f>IF(L83="Primary",IFERROR(F83/SUMIFS($F$4:$F$102,$B$4:$B$102,B83,$C$4:$C$102,C83,$L$4:$L$102,"Primary"),""),"")</x:f>
        <x:v>0</x:v>
      </x:c>
      <x:c r="I83" s="16" t="str">
        <x:v>Official standardized</x:v>
      </x:c>
      <x:c r="J83" s="16" t="str">
        <x:v>https://www.education.gov.au/download/19832/finance-2024-financial-reports-higher-education-providers/43010/2024-higher-education-providers-finance-tables/csv</x:v>
      </x:c>
      <x:c r="K83" s="16" t="str"/>
      <x:c r="L83" s="16" t="str">
        <x:v>Primary</x:v>
      </x:c>
    </x:row>
    <x:row r="84">
      <x:c r="A84" s="16" t="n">
        <x:v>40</x:v>
      </x:c>
      <x:c r="B84" s="16" t="str">
        <x:v>The University of Queensland</x:v>
      </x:c>
      <x:c r="C84" s="16" t="str">
        <x:v>FY2024</x:v>
      </x:c>
      <x:c r="D84" s="16" t="str">
        <x:v>AUD</x:v>
      </x:c>
      <x:c r="E84" s="16" t="str">
        <x:v>Other expenses</x:v>
      </x:c>
      <x:c r="F84" s="48" t="n">
        <x:v>755.753</x:v>
      </x:c>
      <x:c r="G84" s="58"/>
      <x:c r="H84" s="59" t="n">
        <x:f>IF(L84="Primary",IFERROR(F84/SUMIFS($F$4:$F$102,$B$4:$B$102,B84,$C$4:$C$102,C84,$L$4:$L$102,"Primary"),""),"")</x:f>
        <x:v>0.31247694936053605</x:v>
      </x:c>
      <x:c r="I84" s="16" t="str">
        <x:v>Official standardized</x:v>
      </x:c>
      <x:c r="J84" s="16" t="str">
        <x:v>https://www.education.gov.au/download/19832/finance-2024-financial-reports-higher-education-providers/43010/2024-higher-education-providers-finance-tables/csv</x:v>
      </x:c>
      <x:c r="K84" s="16" t="str"/>
      <x:c r="L84" s="16" t="str">
        <x:v>Primary</x:v>
      </x:c>
    </x:row>
    <x:row r="85">
      <x:c r="A85" s="16" t="n">
        <x:v>40</x:v>
      </x:c>
      <x:c r="B85" s="16" t="str">
        <x:v>The University of Queensland</x:v>
      </x:c>
      <x:c r="C85" s="16" t="str">
        <x:v>FY2024</x:v>
      </x:c>
      <x:c r="D85" s="16" t="str">
        <x:v>AUD</x:v>
      </x:c>
      <x:c r="E85" s="16" t="str">
        <x:v>Repairs &amp; maintenance</x:v>
      </x:c>
      <x:c r="F85" s="48" t="n">
        <x:v>105.756</x:v>
      </x:c>
      <x:c r="G85" s="58"/>
      <x:c r="H85" s="59" t="n">
        <x:f>IF(L85="Primary",IFERROR(F85/SUMIFS($F$4:$F$102,$B$4:$B$102,B85,$C$4:$C$102,C85,$L$4:$L$102,"Primary"),""),"")</x:f>
        <x:v>0.043726339500568104</x:v>
      </x:c>
      <x:c r="I85" s="16" t="str">
        <x:v>Official standardized</x:v>
      </x:c>
      <x:c r="J85" s="16" t="str">
        <x:v>https://www.education.gov.au/download/19832/finance-2024-financial-reports-higher-education-providers/43010/2024-higher-education-providers-finance-tables/csv</x:v>
      </x:c>
      <x:c r="K85" s="16" t="str"/>
      <x:c r="L85" s="16" t="str">
        <x:v>Primary</x:v>
      </x:c>
    </x:row>
    <x:row r="86">
      <x:c r="A86" s="16" t="n">
        <x:v>40</x:v>
      </x:c>
      <x:c r="B86" s="16" t="str">
        <x:v>The University of Queensland</x:v>
      </x:c>
      <x:c r="C86" s="16" t="str">
        <x:v>FY2024</x:v>
      </x:c>
      <x:c r="D86" s="16" t="str">
        <x:v>AUD</x:v>
      </x:c>
      <x:c r="E86" s="16" t="str">
        <x:v>Scholarships, grants &amp; prizes (subset of other expenses)</x:v>
      </x:c>
      <x:c r="F86" s="48" t="n">
        <x:v>124.648</x:v>
      </x:c>
      <x:c r="G86" s="58"/>
      <x:c r="H86" s="59" t="str">
        <x:f>IF(L86="Primary",IFERROR(F86/SUMIFS($F$4:$F$102,$B$4:$B$102,B86,$C$4:$C$102,C86,$L$4:$L$102,"Primary"),""),"")</x:f>
      </x:c>
      <x:c r="I86" s="16" t="str">
        <x:v>Supplemental subset - do not sum</x:v>
      </x:c>
      <x:c r="J86" s="16" t="str">
        <x:v>https://www.education.gov.au/download/19832/finance-2024-financial-reports-higher-education-providers/43010/2024-higher-education-providers-finance-tables/csv</x:v>
      </x:c>
      <x:c r="K86" s="16" t="str">
        <x:v>Subset/detail metric; do not add to top-level expense mix.</x:v>
      </x:c>
      <x:c r="L86" s="16" t="str">
        <x:v>Supplemental</x:v>
      </x:c>
    </x:row>
    <x:row r="87">
      <x:c r="A87" s="16" t="n">
        <x:v>77</x:v>
      </x:c>
      <x:c r="B87" s="16" t="str">
        <x:v>The University of Western Australia</x:v>
      </x:c>
      <x:c r="C87" s="16" t="str">
        <x:v>FY2024</x:v>
      </x:c>
      <x:c r="D87" s="16" t="str">
        <x:v>AUD</x:v>
      </x:c>
      <x:c r="E87" s="16" t="str">
        <x:v>Borrowing costs</x:v>
      </x:c>
      <x:c r="F87" s="48" t="n">
        <x:v>6.36</x:v>
      </x:c>
      <x:c r="G87" s="58"/>
      <x:c r="H87" s="59" t="n">
        <x:f>IF(L87="Primary",IFERROR(F87/SUMIFS($F$4:$F$102,$B$4:$B$102,B87,$C$4:$C$102,C87,$L$4:$L$102,"Primary"),""),"")</x:f>
        <x:v>0.005827292251533788</x:v>
      </x:c>
      <x:c r="I87" s="16" t="str">
        <x:v>Official standardized</x:v>
      </x:c>
      <x:c r="J87" s="16" t="str">
        <x:v>https://www.education.gov.au/download/19832/finance-2024-financial-reports-higher-education-providers/43010/2024-higher-education-providers-finance-tables/csv</x:v>
      </x:c>
      <x:c r="K87" s="16" t="str"/>
      <x:c r="L87" s="16" t="str">
        <x:v>Primary</x:v>
      </x:c>
    </x:row>
    <x:row r="88">
      <x:c r="A88" s="16" t="n">
        <x:v>77</x:v>
      </x:c>
      <x:c r="B88" s="16" t="str">
        <x:v>The University of Western Australia</x:v>
      </x:c>
      <x:c r="C88" s="16" t="str">
        <x:v>FY2024</x:v>
      </x:c>
      <x:c r="D88" s="16" t="str">
        <x:v>AUD</x:v>
      </x:c>
      <x:c r="E88" s="16" t="str">
        <x:v>Depreciation &amp; amortisation</x:v>
      </x:c>
      <x:c r="F88" s="48" t="n">
        <x:v>56.343</x:v>
      </x:c>
      <x:c r="G88" s="58"/>
      <x:c r="H88" s="59" t="n">
        <x:f>IF(L88="Primary",IFERROR(F88/SUMIFS($F$4:$F$102,$B$4:$B$102,B88,$C$4:$C$102,C88,$L$4:$L$102,"Primary"),""),"")</x:f>
        <x:v>0.051623762158517016</x:v>
      </x:c>
      <x:c r="I88" s="16" t="str">
        <x:v>Official standardized</x:v>
      </x:c>
      <x:c r="J88" s="16" t="str">
        <x:v>https://www.education.gov.au/download/19832/finance-2024-financial-reports-higher-education-providers/43010/2024-higher-education-providers-finance-tables/csv</x:v>
      </x:c>
      <x:c r="K88" s="16" t="str"/>
      <x:c r="L88" s="16" t="str">
        <x:v>Primary</x:v>
      </x:c>
    </x:row>
    <x:row r="89">
      <x:c r="A89" s="16" t="n">
        <x:v>77</x:v>
      </x:c>
      <x:c r="B89" s="16" t="str">
        <x:v>The University of Western Australia</x:v>
      </x:c>
      <x:c r="C89" s="16" t="str">
        <x:v>FY2024</x:v>
      </x:c>
      <x:c r="D89" s="16" t="str">
        <x:v>AUD</x:v>
      </x:c>
      <x:c r="E89" s="16" t="str">
        <x:v>Employee-related expenses</x:v>
      </x:c>
      <x:c r="F89" s="48" t="n">
        <x:v>595.943</x:v>
      </x:c>
      <x:c r="G89" s="58"/>
      <x:c r="H89" s="59" t="n">
        <x:f>IF(L89="Primary",IFERROR(F89/SUMIFS($F$4:$F$102,$B$4:$B$102,B89,$C$4:$C$102,C89,$L$4:$L$102,"Primary"),""),"")</x:f>
        <x:v>0.5460273626188364</x:v>
      </x:c>
      <x:c r="I89" s="16" t="str">
        <x:v>Official standardized</x:v>
      </x:c>
      <x:c r="J89" s="16" t="str">
        <x:v>https://www.education.gov.au/download/19832/finance-2024-financial-reports-higher-education-providers/43010/2024-higher-education-providers-finance-tables/csv</x:v>
      </x:c>
      <x:c r="K89" s="16" t="str"/>
      <x:c r="L89" s="16" t="str">
        <x:v>Primary</x:v>
      </x:c>
    </x:row>
    <x:row r="90">
      <x:c r="A90" s="16" t="n">
        <x:v>77</x:v>
      </x:c>
      <x:c r="B90" s="16" t="str">
        <x:v>The University of Western Australia</x:v>
      </x:c>
      <x:c r="C90" s="16" t="str">
        <x:v>FY2024</x:v>
      </x:c>
      <x:c r="D90" s="16" t="str">
        <x:v>AUD</x:v>
      </x:c>
      <x:c r="E90" s="16" t="str">
        <x:v>Impairment of assets</x:v>
      </x:c>
      <x:c r="F90" s="48" t="n">
        <x:v>0</x:v>
      </x:c>
      <x:c r="G90" s="58"/>
      <x:c r="H90" s="59" t="n">
        <x:f>IF(L90="Primary",IFERROR(F90/SUMIFS($F$4:$F$102,$B$4:$B$102,B90,$C$4:$C$102,C90,$L$4:$L$102,"Primary"),""),"")</x:f>
        <x:v>0</x:v>
      </x:c>
      <x:c r="I90" s="16" t="str">
        <x:v>Official standardized</x:v>
      </x:c>
      <x:c r="J90" s="16" t="str">
        <x:v>https://www.education.gov.au/download/19832/finance-2024-financial-reports-higher-education-providers/43010/2024-higher-education-providers-finance-tables/csv</x:v>
      </x:c>
      <x:c r="K90" s="16" t="str"/>
      <x:c r="L90" s="16" t="str">
        <x:v>Primary</x:v>
      </x:c>
    </x:row>
    <x:row r="91">
      <x:c r="A91" s="16" t="n">
        <x:v>77</x:v>
      </x:c>
      <x:c r="B91" s="16" t="str">
        <x:v>The University of Western Australia</x:v>
      </x:c>
      <x:c r="C91" s="16" t="str">
        <x:v>FY2024</x:v>
      </x:c>
      <x:c r="D91" s="16" t="str">
        <x:v>AUD</x:v>
      </x:c>
      <x:c r="E91" s="16" t="str">
        <x:v>Investment losses</x:v>
      </x:c>
      <x:c r="F91" s="48" t="n">
        <x:v>0</x:v>
      </x:c>
      <x:c r="G91" s="58"/>
      <x:c r="H91" s="59" t="n">
        <x:f>IF(L91="Primary",IFERROR(F91/SUMIFS($F$4:$F$102,$B$4:$B$102,B91,$C$4:$C$102,C91,$L$4:$L$102,"Primary"),""),"")</x:f>
        <x:v>0</x:v>
      </x:c>
      <x:c r="I91" s="16" t="str">
        <x:v>Official standardized</x:v>
      </x:c>
      <x:c r="J91" s="16" t="str">
        <x:v>https://www.education.gov.au/download/19832/finance-2024-financial-reports-higher-education-providers/43010/2024-higher-education-providers-finance-tables/csv</x:v>
      </x:c>
      <x:c r="K91" s="16" t="str"/>
      <x:c r="L91" s="16" t="str">
        <x:v>Primary</x:v>
      </x:c>
    </x:row>
    <x:row r="92">
      <x:c r="A92" s="16" t="n">
        <x:v>77</x:v>
      </x:c>
      <x:c r="B92" s="16" t="str">
        <x:v>The University of Western Australia</x:v>
      </x:c>
      <x:c r="C92" s="16" t="str">
        <x:v>FY2024</x:v>
      </x:c>
      <x:c r="D92" s="16" t="str">
        <x:v>AUD</x:v>
      </x:c>
      <x:c r="E92" s="16" t="str">
        <x:v>Other expenses</x:v>
      </x:c>
      <x:c r="F92" s="48" t="n">
        <x:v>403.73</x:v>
      </x:c>
      <x:c r="G92" s="58"/>
      <x:c r="H92" s="59" t="n">
        <x:f>IF(L92="Primary",IFERROR(F92/SUMIFS($F$4:$F$102,$B$4:$B$102,B92,$C$4:$C$102,C92,$L$4:$L$102,"Primary"),""),"")</x:f>
        <x:v>0.3699139466527887</x:v>
      </x:c>
      <x:c r="I92" s="16" t="str">
        <x:v>Official standardized</x:v>
      </x:c>
      <x:c r="J92" s="16" t="str">
        <x:v>https://www.education.gov.au/download/19832/finance-2024-financial-reports-higher-education-providers/43010/2024-higher-education-providers-finance-tables/csv</x:v>
      </x:c>
      <x:c r="K92" s="16" t="str"/>
      <x:c r="L92" s="16" t="str">
        <x:v>Primary</x:v>
      </x:c>
    </x:row>
    <x:row r="93">
      <x:c r="A93" s="16" t="n">
        <x:v>77</x:v>
      </x:c>
      <x:c r="B93" s="16" t="str">
        <x:v>The University of Western Australia</x:v>
      </x:c>
      <x:c r="C93" s="16" t="str">
        <x:v>FY2024</x:v>
      </x:c>
      <x:c r="D93" s="16" t="str">
        <x:v>AUD</x:v>
      </x:c>
      <x:c r="E93" s="16" t="str">
        <x:v>Repairs &amp; maintenance</x:v>
      </x:c>
      <x:c r="F93" s="48" t="n">
        <x:v>29.04</x:v>
      </x:c>
      <x:c r="G93" s="58"/>
      <x:c r="H93" s="59" t="n">
        <x:f>IF(L93="Primary",IFERROR(F93/SUMIFS($F$4:$F$102,$B$4:$B$102,B93,$C$4:$C$102,C93,$L$4:$L$102,"Primary"),""),"")</x:f>
        <x:v>0.026607636318324086</x:v>
      </x:c>
      <x:c r="I93" s="16" t="str">
        <x:v>Official standardized</x:v>
      </x:c>
      <x:c r="J93" s="16" t="str">
        <x:v>https://www.education.gov.au/download/19832/finance-2024-financial-reports-higher-education-providers/43010/2024-higher-education-providers-finance-tables/csv</x:v>
      </x:c>
      <x:c r="K93" s="16" t="str"/>
      <x:c r="L93" s="16" t="str">
        <x:v>Primary</x:v>
      </x:c>
    </x:row>
    <x:row r="94">
      <x:c r="A94" s="16" t="n">
        <x:v>77</x:v>
      </x:c>
      <x:c r="B94" s="16" t="str">
        <x:v>The University of Western Australia</x:v>
      </x:c>
      <x:c r="C94" s="16" t="str">
        <x:v>FY2024</x:v>
      </x:c>
      <x:c r="D94" s="16" t="str">
        <x:v>AUD</x:v>
      </x:c>
      <x:c r="E94" s="16" t="str">
        <x:v>Scholarships, grants &amp; prizes (subset of other expenses)</x:v>
      </x:c>
      <x:c r="F94" s="48" t="n">
        <x:v>134.898</x:v>
      </x:c>
      <x:c r="G94" s="58"/>
      <x:c r="H94" s="59" t="str">
        <x:f>IF(L94="Primary",IFERROR(F94/SUMIFS($F$4:$F$102,$B$4:$B$102,B94,$C$4:$C$102,C94,$L$4:$L$102,"Primary"),""),"")</x:f>
      </x:c>
      <x:c r="I94" s="16" t="str">
        <x:v>Supplemental subset - do not sum</x:v>
      </x:c>
      <x:c r="J94" s="16" t="str">
        <x:v>https://www.education.gov.au/download/19832/finance-2024-financial-reports-higher-education-providers/43010/2024-higher-education-providers-finance-tables/csv</x:v>
      </x:c>
      <x:c r="K94" s="16" t="str">
        <x:v>Subset/detail metric; do not add to top-level expense mix.</x:v>
      </x:c>
      <x:c r="L94" s="16" t="str">
        <x:v>Supplemental</x:v>
      </x:c>
    </x:row>
    <x:row r="95">
      <x:c r="A95" s="16" t="n">
        <x:v>87</x:v>
      </x:c>
      <x:c r="B95" s="16" t="str">
        <x:v>The University of Technology Sydney (UTS)</x:v>
      </x:c>
      <x:c r="C95" s="16" t="str">
        <x:v>FY2024</x:v>
      </x:c>
      <x:c r="D95" s="16" t="str">
        <x:v>AUD</x:v>
      </x:c>
      <x:c r="E95" s="16" t="str">
        <x:v>Borrowing costs</x:v>
      </x:c>
      <x:c r="F95" s="48" t="n">
        <x:v>20.38</x:v>
      </x:c>
      <x:c r="G95" s="58"/>
      <x:c r="H95" s="59" t="n">
        <x:f>IF(L95="Primary",IFERROR(F95/SUMIFS($F$4:$F$102,$B$4:$B$102,B95,$C$4:$C$102,C95,$L$4:$L$102,"Primary"),""),"")</x:f>
        <x:v>0.014618666559549189</x:v>
      </x:c>
      <x:c r="I95" s="16" t="str">
        <x:v>Official standardized</x:v>
      </x:c>
      <x:c r="J95" s="16" t="str">
        <x:v>https://www.education.gov.au/download/19832/finance-2024-financial-reports-higher-education-providers/43010/2024-higher-education-providers-finance-tables/csv</x:v>
      </x:c>
      <x:c r="K95" s="16" t="str"/>
      <x:c r="L95" s="16" t="str">
        <x:v>Primary</x:v>
      </x:c>
    </x:row>
    <x:row r="96">
      <x:c r="A96" s="16" t="n">
        <x:v>87</x:v>
      </x:c>
      <x:c r="B96" s="16" t="str">
        <x:v>The University of Technology Sydney (UTS)</x:v>
      </x:c>
      <x:c r="C96" s="16" t="str">
        <x:v>FY2024</x:v>
      </x:c>
      <x:c r="D96" s="16" t="str">
        <x:v>AUD</x:v>
      </x:c>
      <x:c r="E96" s="16" t="str">
        <x:v>Depreciation &amp; amortisation</x:v>
      </x:c>
      <x:c r="F96" s="48" t="n">
        <x:v>145.409</x:v>
      </x:c>
      <x:c r="G96" s="58"/>
      <x:c r="H96" s="59" t="n">
        <x:f>IF(L96="Primary",IFERROR(F96/SUMIFS($F$4:$F$102,$B$4:$B$102,B96,$C$4:$C$102,C96,$L$4:$L$102,"Primary"),""),"")</x:f>
        <x:v>0.10430253610193758</x:v>
      </x:c>
      <x:c r="I96" s="16" t="str">
        <x:v>Official standardized</x:v>
      </x:c>
      <x:c r="J96" s="16" t="str">
        <x:v>https://www.education.gov.au/download/19832/finance-2024-financial-reports-higher-education-providers/43010/2024-higher-education-providers-finance-tables/csv</x:v>
      </x:c>
      <x:c r="K96" s="16" t="str"/>
      <x:c r="L96" s="16" t="str">
        <x:v>Primary</x:v>
      </x:c>
    </x:row>
    <x:row r="97">
      <x:c r="A97" s="16" t="n">
        <x:v>87</x:v>
      </x:c>
      <x:c r="B97" s="16" t="str">
        <x:v>The University of Technology Sydney (UTS)</x:v>
      </x:c>
      <x:c r="C97" s="16" t="str">
        <x:v>FY2024</x:v>
      </x:c>
      <x:c r="D97" s="16" t="str">
        <x:v>AUD</x:v>
      </x:c>
      <x:c r="E97" s="16" t="str">
        <x:v>Employee-related expenses</x:v>
      </x:c>
      <x:c r="F97" s="48" t="n">
        <x:v>764.403</x:v>
      </x:c>
      <x:c r="G97" s="58"/>
      <x:c r="H97" s="59" t="n">
        <x:f>IF(L97="Primary",IFERROR(F97/SUMIFS($F$4:$F$102,$B$4:$B$102,B97,$C$4:$C$102,C97,$L$4:$L$102,"Primary"),""),"")</x:f>
        <x:v>0.5483097435779725</x:v>
      </x:c>
      <x:c r="I97" s="16" t="str">
        <x:v>Official standardized</x:v>
      </x:c>
      <x:c r="J97" s="16" t="str">
        <x:v>https://www.education.gov.au/download/19832/finance-2024-financial-reports-higher-education-providers/43010/2024-higher-education-providers-finance-tables/csv</x:v>
      </x:c>
      <x:c r="K97" s="16" t="str"/>
      <x:c r="L97" s="16" t="str">
        <x:v>Primary</x:v>
      </x:c>
    </x:row>
    <x:row r="98">
      <x:c r="A98" s="16" t="n">
        <x:v>87</x:v>
      </x:c>
      <x:c r="B98" s="16" t="str">
        <x:v>The University of Technology Sydney (UTS)</x:v>
      </x:c>
      <x:c r="C98" s="16" t="str">
        <x:v>FY2024</x:v>
      </x:c>
      <x:c r="D98" s="16" t="str">
        <x:v>AUD</x:v>
      </x:c>
      <x:c r="E98" s="16" t="str">
        <x:v>Impairment of assets</x:v>
      </x:c>
      <x:c r="F98" s="48" t="n">
        <x:v>1.834</x:v>
      </x:c>
      <x:c r="G98" s="58"/>
      <x:c r="H98" s="59" t="n">
        <x:f>IF(L98="Primary",IFERROR(F98/SUMIFS($F$4:$F$102,$B$4:$B$102,B98,$C$4:$C$102,C98,$L$4:$L$102,"Primary"),""),"")</x:f>
        <x:v>0.00131553652945109</x:v>
      </x:c>
      <x:c r="I98" s="16" t="str">
        <x:v>Official standardized</x:v>
      </x:c>
      <x:c r="J98" s="16" t="str">
        <x:v>https://www.education.gov.au/download/19832/finance-2024-financial-reports-higher-education-providers/43010/2024-higher-education-providers-finance-tables/csv</x:v>
      </x:c>
      <x:c r="K98" s="16" t="str"/>
      <x:c r="L98" s="16" t="str">
        <x:v>Primary</x:v>
      </x:c>
    </x:row>
    <x:row r="99">
      <x:c r="A99" s="16" t="n">
        <x:v>87</x:v>
      </x:c>
      <x:c r="B99" s="16" t="str">
        <x:v>The University of Technology Sydney (UTS)</x:v>
      </x:c>
      <x:c r="C99" s="16" t="str">
        <x:v>FY2024</x:v>
      </x:c>
      <x:c r="D99" s="16" t="str">
        <x:v>AUD</x:v>
      </x:c>
      <x:c r="E99" s="16" t="str">
        <x:v>Investment losses</x:v>
      </x:c>
      <x:c r="F99" s="48" t="n">
        <x:v>0</x:v>
      </x:c>
      <x:c r="G99" s="58"/>
      <x:c r="H99" s="59" t="n">
        <x:f>IF(L99="Primary",IFERROR(F99/SUMIFS($F$4:$F$102,$B$4:$B$102,B99,$C$4:$C$102,C99,$L$4:$L$102,"Primary"),""),"")</x:f>
        <x:v>0</x:v>
      </x:c>
      <x:c r="I99" s="16" t="str">
        <x:v>Official standardized</x:v>
      </x:c>
      <x:c r="J99" s="16" t="str">
        <x:v>https://www.education.gov.au/download/19832/finance-2024-financial-reports-higher-education-providers/43010/2024-higher-education-providers-finance-tables/csv</x:v>
      </x:c>
      <x:c r="K99" s="16" t="str"/>
      <x:c r="L99" s="16" t="str">
        <x:v>Primary</x:v>
      </x:c>
    </x:row>
    <x:row r="100">
      <x:c r="A100" s="16" t="n">
        <x:v>87</x:v>
      </x:c>
      <x:c r="B100" s="16" t="str">
        <x:v>The University of Technology Sydney (UTS)</x:v>
      </x:c>
      <x:c r="C100" s="16" t="str">
        <x:v>FY2024</x:v>
      </x:c>
      <x:c r="D100" s="16" t="str">
        <x:v>AUD</x:v>
      </x:c>
      <x:c r="E100" s="16" t="str">
        <x:v>Other expenses</x:v>
      </x:c>
      <x:c r="F100" s="48" t="n">
        <x:v>443.608</x:v>
      </x:c>
      <x:c r="G100" s="58"/>
      <x:c r="H100" s="59" t="n">
        <x:f>IF(L100="Primary",IFERROR(F100/SUMIFS($F$4:$F$102,$B$4:$B$102,B100,$C$4:$C$102,C100,$L$4:$L$102,"Primary"),""),"")</x:f>
        <x:v>0.31820203312799294</x:v>
      </x:c>
      <x:c r="I100" s="16" t="str">
        <x:v>Official standardized</x:v>
      </x:c>
      <x:c r="J100" s="16" t="str">
        <x:v>https://www.education.gov.au/download/19832/finance-2024-financial-reports-higher-education-providers/43010/2024-higher-education-providers-finance-tables/csv</x:v>
      </x:c>
      <x:c r="K100" s="16" t="str"/>
      <x:c r="L100" s="16" t="str">
        <x:v>Primary</x:v>
      </x:c>
    </x:row>
    <x:row r="101">
      <x:c r="A101" s="16" t="n">
        <x:v>87</x:v>
      </x:c>
      <x:c r="B101" s="16" t="str">
        <x:v>The University of Technology Sydney (UTS)</x:v>
      </x:c>
      <x:c r="C101" s="16" t="str">
        <x:v>FY2024</x:v>
      </x:c>
      <x:c r="D101" s="16" t="str">
        <x:v>AUD</x:v>
      </x:c>
      <x:c r="E101" s="16" t="str">
        <x:v>Repairs &amp; maintenance</x:v>
      </x:c>
      <x:c r="F101" s="48" t="n">
        <x:v>18.474</x:v>
      </x:c>
      <x:c r="G101" s="58"/>
      <x:c r="H101" s="59" t="n">
        <x:f>IF(L101="Primary",IFERROR(F101/SUMIFS($F$4:$F$102,$B$4:$B$102,B101,$C$4:$C$102,C101,$L$4:$L$102,"Primary"),""),"")</x:f>
        <x:v>0.013251484103096747</x:v>
      </x:c>
      <x:c r="I101" s="16" t="str">
        <x:v>Official standardized</x:v>
      </x:c>
      <x:c r="J101" s="16" t="str">
        <x:v>https://www.education.gov.au/download/19832/finance-2024-financial-reports-higher-education-providers/43010/2024-higher-education-providers-finance-tables/csv</x:v>
      </x:c>
      <x:c r="K101" s="16" t="str"/>
      <x:c r="L101" s="16" t="str">
        <x:v>Primary</x:v>
      </x:c>
    </x:row>
    <x:row r="102">
      <x:c r="A102" s="16" t="n">
        <x:v>87</x:v>
      </x:c>
      <x:c r="B102" s="16" t="str">
        <x:v>The University of Technology Sydney (UTS)</x:v>
      </x:c>
      <x:c r="C102" s="16" t="str">
        <x:v>FY2024</x:v>
      </x:c>
      <x:c r="D102" s="16" t="str">
        <x:v>AUD</x:v>
      </x:c>
      <x:c r="E102" s="16" t="str">
        <x:v>Scholarships, grants &amp; prizes (subset of other expenses)</x:v>
      </x:c>
      <x:c r="F102" s="48" t="n">
        <x:v>48.507</x:v>
      </x:c>
      <x:c r="G102" s="58"/>
      <x:c r="H102" s="59" t="str">
        <x:f>IF(L102="Primary",IFERROR(F102/SUMIFS($F$4:$F$102,$B$4:$B$102,B102,$C$4:$C$102,C102,$L$4:$L$102,"Primary"),""),"")</x:f>
      </x:c>
      <x:c r="I102" s="16" t="str">
        <x:v>Supplemental subset - do not sum</x:v>
      </x:c>
      <x:c r="J102" s="16" t="str">
        <x:v>https://www.education.gov.au/download/19832/finance-2024-financial-reports-higher-education-providers/43010/2024-higher-education-providers-finance-tables/csv</x:v>
      </x:c>
      <x:c r="K102" s="16" t="str">
        <x:v>Subset/detail metric; do not add to top-level expense mix.</x:v>
      </x:c>
      <x:c r="L102" s="16" t="str">
        <x:v>Supplemental</x:v>
      </x:c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9" hidden="0" customWidth="1"/>
    <x:col min="5" max="5" width="38" hidden="0" customWidth="1"/>
    <x:col min="6" max="6" width="14" hidden="0" customWidth="1"/>
    <x:col min="7" max="7" width="48" hidden="0" customWidth="1"/>
    <x:col min="8" max="8" width="55" hidden="0" customWidth="1"/>
    <x:col min="9" max="9" width="20" hidden="0" customWidth="1"/>
  </x:cols>
  <x:sheetData>
    <x:row r="1" ht="28" customHeight="1">
      <x:c r="A1" s="5" t="str">
        <x:v>Historical Surplus / Deficit Series - Basis Must Be Read With Metric Column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1" t="str">
        <x:v>QS Rank</x:v>
      </x:c>
      <x:c r="B3" s="31" t="str">
        <x:v>Institution</x:v>
      </x:c>
      <x:c r="C3" s="31" t="str">
        <x:v>FY</x:v>
      </x:c>
      <x:c r="D3" s="31" t="str">
        <x:v>Currency</x:v>
      </x:c>
      <x:c r="E3" s="31" t="str">
        <x:v>Metric basis</x:v>
      </x:c>
      <x:c r="F3" s="31" t="str">
        <x:v>Result</x:v>
      </x:c>
      <x:c r="G3" s="31" t="str">
        <x:v>Source</x:v>
      </x:c>
      <x:c r="H3" s="31" t="str">
        <x:v>Notes</x:v>
      </x:c>
      <x:c r="I3" s="31" t="str">
        <x:v>Cross-year comparability</x:v>
      </x:c>
    </x:row>
    <x:row r="4">
      <x:c r="A4" s="16" t="n">
        <x:v>1</x:v>
      </x:c>
      <x:c r="B4" s="16" t="str">
        <x:v>Massachusetts Institute of Technology (MIT)</x:v>
      </x:c>
      <x:c r="C4" s="16" t="str">
        <x:v>FY2023</x:v>
      </x:c>
      <x:c r="D4" s="16" t="str">
        <x:v>USD</x:v>
      </x:c>
      <x:c r="E4" s="16" t="str">
        <x:v>Net results / reported</x:v>
      </x:c>
      <x:c r="F4" s="48" t="n">
        <x:v>83.7</x:v>
      </x:c>
      <x:c r="G4" s="16" t="str">
        <x:v>https://facts.mit.edu/operating-financials/</x:v>
      </x:c>
      <x:c r="H4" s="16" t="str">
        <x:v>Historical measure may differ from FY2025 operating surplus basis.</x:v>
      </x:c>
      <x:c r="I4" s="16" t="str">
        <x:v>Medium/Check basis</x:v>
      </x:c>
    </x:row>
    <x:row r="5">
      <x:c r="A5" s="16" t="n">
        <x:v>1</x:v>
      </x:c>
      <x:c r="B5" s="16" t="str">
        <x:v>Massachusetts Institute of Technology (MIT)</x:v>
      </x:c>
      <x:c r="C5" s="16" t="str">
        <x:v>FY2024</x:v>
      </x:c>
      <x:c r="D5" s="16" t="str">
        <x:v>USD</x:v>
      </x:c>
      <x:c r="E5" s="16" t="str">
        <x:v>Net results / reported</x:v>
      </x:c>
      <x:c r="F5" s="48" t="n">
        <x:v>484.7</x:v>
      </x:c>
      <x:c r="G5" s="16" t="str">
        <x:v>https://facts.mit.edu/operating-financials/</x:v>
      </x:c>
      <x:c r="H5" s="16" t="str">
        <x:v>Historical measure may differ from FY2025 operating surplus basis.</x:v>
      </x:c>
      <x:c r="I5" s="16" t="str">
        <x:v>Medium/Check basis</x:v>
      </x:c>
    </x:row>
    <x:row r="6">
      <x:c r="A6" s="16" t="n">
        <x:v>1</x:v>
      </x:c>
      <x:c r="B6" s="16" t="str">
        <x:v>Massachusetts Institute of Technology (MIT)</x:v>
      </x:c>
      <x:c r="C6" s="16" t="str">
        <x:v>FY2025</x:v>
      </x:c>
      <x:c r="D6" s="16" t="str">
        <x:v>USD</x:v>
      </x:c>
      <x:c r="E6" s="16" t="str">
        <x:v>Operating surplus</x:v>
      </x:c>
      <x:c r="F6" s="48" t="n">
        <x:v>255.6</x:v>
      </x:c>
      <x:c r="G6" s="16" t="str">
        <x:v>https://facts.mit.edu/operating-financials/</x:v>
      </x:c>
      <x:c r="H6" s="16" t="str"/>
      <x:c r="I6" s="16" t="str">
        <x:v>Medium/Check basis</x:v>
      </x:c>
    </x:row>
    <x:row r="7">
      <x:c r="A7" s="16" t="n">
        <x:v>2</x:v>
      </x:c>
      <x:c r="B7" s="16" t="str">
        <x:v>Stanford University</x:v>
      </x:c>
      <x:c r="C7" s="16" t="str">
        <x:v>FY2020</x:v>
      </x:c>
      <x:c r="D7" s="16" t="str">
        <x:v>USD</x:v>
      </x:c>
      <x:c r="E7" s="16" t="str">
        <x:v>Consolidated operating surplus</x:v>
      </x:c>
      <x:c r="F7" s="48" t="n">
        <x:v>107</x:v>
      </x:c>
      <x:c r="G7" s="16" t="str">
        <x:v>https://bondholder-information.stanford.edu/sites/g/files/sbiybj21416/files/media/file/fy25-annual-financial-report.pdf</x:v>
      </x:c>
      <x:c r="H7" s="16" t="str"/>
      <x:c r="I7" s="16" t="str">
        <x:v>Medium/Check basis</x:v>
      </x:c>
    </x:row>
    <x:row r="8">
      <x:c r="A8" s="16" t="n">
        <x:v>2</x:v>
      </x:c>
      <x:c r="B8" s="16" t="str">
        <x:v>Stanford University</x:v>
      </x:c>
      <x:c r="C8" s="16" t="str">
        <x:v>FY2021</x:v>
      </x:c>
      <x:c r="D8" s="16" t="str">
        <x:v>USD</x:v>
      </x:c>
      <x:c r="E8" s="16" t="str">
        <x:v>Consolidated operating surplus</x:v>
      </x:c>
      <x:c r="F8" s="48" t="n">
        <x:v>845</x:v>
      </x:c>
      <x:c r="G8" s="16" t="str">
        <x:v>https://bondholder-information.stanford.edu/sites/g/files/sbiybj21416/files/media/file/fy25-annual-financial-report.pdf</x:v>
      </x:c>
      <x:c r="H8" s="16" t="str"/>
      <x:c r="I8" s="16" t="str">
        <x:v>Medium/Check basis</x:v>
      </x:c>
    </x:row>
    <x:row r="9">
      <x:c r="A9" s="16" t="n">
        <x:v>2</x:v>
      </x:c>
      <x:c r="B9" s="16" t="str">
        <x:v>Stanford University</x:v>
      </x:c>
      <x:c r="C9" s="16" t="str">
        <x:v>FY2025</x:v>
      </x:c>
      <x:c r="D9" s="16" t="str">
        <x:v>USD</x:v>
      </x:c>
      <x:c r="E9" s="16" t="str">
        <x:v>Consolidated operating surplus</x:v>
      </x:c>
      <x:c r="F9" s="48" t="n">
        <x:v>455.86</x:v>
      </x:c>
      <x:c r="G9" s="16" t="str">
        <x:v>https://bondholder-information.stanford.edu/sites/g/files/sbiybj21416/files/media/file/fy25-annual-financial-report.pdf</x:v>
      </x:c>
      <x:c r="H9" s="16" t="str">
        <x:v>University-only FY2025 result was approximately -78m.</x:v>
      </x:c>
      <x:c r="I9" s="16" t="str">
        <x:v>Medium/Check basis</x:v>
      </x:c>
    </x:row>
    <x:row r="10">
      <x:c r="A10" s="16" t="n">
        <x:v>5</x:v>
      </x:c>
      <x:c r="B10" s="16" t="str">
        <x:v>Harvard University</x:v>
      </x:c>
      <x:c r="C10" s="16" t="str">
        <x:v>FY2020</x:v>
      </x:c>
      <x:c r="D10" s="16" t="str">
        <x:v>USD</x:v>
      </x:c>
      <x:c r="E10" s="16" t="str">
        <x:v>Operating result</x:v>
      </x:c>
      <x:c r="F10" s="48" t="n">
        <x:v>-10</x:v>
      </x:c>
      <x:c r="G10" s="16" t="str">
        <x:v>https://finance.harvard.edu/financial-overview</x:v>
      </x:c>
      <x:c r="H10" s="16" t="str"/>
      <x:c r="I10" s="16" t="str">
        <x:v>Medium/Check basis</x:v>
      </x:c>
    </x:row>
    <x:row r="11">
      <x:c r="A11" s="16" t="n">
        <x:v>5</x:v>
      </x:c>
      <x:c r="B11" s="16" t="str">
        <x:v>Harvard University</x:v>
      </x:c>
      <x:c r="C11" s="16" t="str">
        <x:v>FY2021</x:v>
      </x:c>
      <x:c r="D11" s="16" t="str">
        <x:v>USD</x:v>
      </x:c>
      <x:c r="E11" s="16" t="str">
        <x:v>Operating result</x:v>
      </x:c>
      <x:c r="F11" s="48" t="n">
        <x:v>283</x:v>
      </x:c>
      <x:c r="G11" s="16" t="str">
        <x:v>https://finance.harvard.edu/financial-overview</x:v>
      </x:c>
      <x:c r="H11" s="16" t="str"/>
      <x:c r="I11" s="16" t="str">
        <x:v>Medium/Check basis</x:v>
      </x:c>
    </x:row>
    <x:row r="12">
      <x:c r="A12" s="16" t="n">
        <x:v>5</x:v>
      </x:c>
      <x:c r="B12" s="16" t="str">
        <x:v>Harvard University</x:v>
      </x:c>
      <x:c r="C12" s="16" t="str">
        <x:v>FY2025</x:v>
      </x:c>
      <x:c r="D12" s="16" t="str">
        <x:v>USD</x:v>
      </x:c>
      <x:c r="E12" s="16" t="str">
        <x:v>Operating result</x:v>
      </x:c>
      <x:c r="F12" s="48" t="n">
        <x:v>-113</x:v>
      </x:c>
      <x:c r="G12" s="16" t="str">
        <x:v>https://finance.harvard.edu/financial-overview</x:v>
      </x:c>
      <x:c r="H12" s="16" t="str"/>
      <x:c r="I12" s="16" t="str">
        <x:v>Medium/Check basis</x:v>
      </x:c>
    </x:row>
    <x:row r="13">
      <x:c r="A13" s="16" t="n">
        <x:v>6</x:v>
      </x:c>
      <x:c r="B13" s="16" t="str">
        <x:v>University of Cambridge</x:v>
      </x:c>
      <x:c r="C13" s="16" t="str">
        <x:v>FY2022/23</x:v>
      </x:c>
      <x:c r="D13" s="16" t="str">
        <x:v>GBP</x:v>
      </x:c>
      <x:c r="E13" s="16" t="str">
        <x:v>Reported surplus</x:v>
      </x:c>
      <x:c r="F13" s="48" t="n">
        <x:v>199</x:v>
      </x:c>
      <x:c r="G13" s="16" t="str">
        <x:v>https://www.cam.ac.uk/about-the-university/annual-reports</x:v>
      </x:c>
      <x:c r="H13" s="16" t="str"/>
      <x:c r="I13" s="16" t="str">
        <x:v>Medium/Check basis</x:v>
      </x:c>
    </x:row>
    <x:row r="14">
      <x:c r="A14" s="16" t="n">
        <x:v>6</x:v>
      </x:c>
      <x:c r="B14" s="16" t="str">
        <x:v>University of Cambridge</x:v>
      </x:c>
      <x:c r="C14" s="16" t="str">
        <x:v>FY2023/24</x:v>
      </x:c>
      <x:c r="D14" s="16" t="str">
        <x:v>GBP</x:v>
      </x:c>
      <x:c r="E14" s="16" t="str">
        <x:v>Reported surplus</x:v>
      </x:c>
      <x:c r="F14" s="48" t="n">
        <x:v>726</x:v>
      </x:c>
      <x:c r="G14" s="16" t="str">
        <x:v>https://www.cam.ac.uk/about-the-university/annual-reports</x:v>
      </x:c>
      <x:c r="H14" s="16" t="str"/>
      <x:c r="I14" s="16" t="str">
        <x:v>Medium/Check basis</x:v>
      </x:c>
    </x:row>
    <x:row r="15">
      <x:c r="A15" s="16" t="n">
        <x:v>6</x:v>
      </x:c>
      <x:c r="B15" s="16" t="str">
        <x:v>University of Cambridge</x:v>
      </x:c>
      <x:c r="C15" s="16" t="str">
        <x:v>FY2024/25</x:v>
      </x:c>
      <x:c r="D15" s="16" t="str">
        <x:v>GBP</x:v>
      </x:c>
      <x:c r="E15" s="16" t="str">
        <x:v>Reported surplus</x:v>
      </x:c>
      <x:c r="F15" s="48" t="n">
        <x:v>287</x:v>
      </x:c>
      <x:c r="G15" s="16" t="str">
        <x:v>https://www.cam.ac.uk/about-the-university/annual-reports</x:v>
      </x:c>
      <x:c r="H15" s="16" t="str">
        <x:v>Adjusted underlying operating result approximately -8m.</x:v>
      </x:c>
      <x:c r="I15" s="16" t="str">
        <x:v>Medium/Check basis</x:v>
      </x:c>
    </x:row>
    <x:row r="16">
      <x:c r="A16" s="16" t="n">
        <x:v>10</x:v>
      </x:c>
      <x:c r="B16" s="16" t="str">
        <x:v>National University of Singapore (NUS)</x:v>
      </x:c>
      <x:c r="C16" s="16" t="str">
        <x:v>FY2023/24</x:v>
      </x:c>
      <x:c r="D16" s="16" t="str">
        <x:v>SGD</x:v>
      </x:c>
      <x:c r="E16" s="16" t="str">
        <x:v>Surplus for year</x:v>
      </x:c>
      <x:c r="F16" s="48" t="n">
        <x:v>697.179</x:v>
      </x:c>
      <x:c r="G16" s="16" t="str">
        <x:v>https://nus.edu.sg/docs/default-source/annual-report/nus-financial-report-2025.pdf</x:v>
      </x:c>
      <x:c r="H16" s="16" t="str"/>
      <x:c r="I16" s="16" t="str">
        <x:v>Medium/Check basis</x:v>
      </x:c>
    </x:row>
    <x:row r="17">
      <x:c r="A17" s="16" t="n">
        <x:v>10</x:v>
      </x:c>
      <x:c r="B17" s="16" t="str">
        <x:v>National University of Singapore (NUS)</x:v>
      </x:c>
      <x:c r="C17" s="16" t="str">
        <x:v>FY2024/25</x:v>
      </x:c>
      <x:c r="D17" s="16" t="str">
        <x:v>SGD</x:v>
      </x:c>
      <x:c r="E17" s="16" t="str">
        <x:v>Surplus for year</x:v>
      </x:c>
      <x:c r="F17" s="48" t="n">
        <x:v>339.591</x:v>
      </x:c>
      <x:c r="G17" s="16" t="str">
        <x:v>https://nus.edu.sg/docs/default-source/annual-report/nus-financial-report-2025.pdf</x:v>
      </x:c>
      <x:c r="H17" s="16" t="str"/>
      <x:c r="I17" s="16" t="str">
        <x:v>Medium/Check basis</x:v>
      </x:c>
    </x:row>
    <x:row r="18">
      <x:c r="A18" s="16" t="n">
        <x:v>11</x:v>
      </x:c>
      <x:c r="B18" s="16" t="str">
        <x:v>The University of Hong Kong</x:v>
      </x:c>
      <x:c r="C18" s="16" t="str">
        <x:v>FY2023/24</x:v>
      </x:c>
      <x:c r="D18" s="16" t="str">
        <x:v>HKD</x:v>
      </x:c>
      <x:c r="E18" s="16" t="str">
        <x:v>Surplus for year</x:v>
      </x:c>
      <x:c r="F18" s="48" t="n">
        <x:v>3916.892</x:v>
      </x:c>
      <x:c r="G18" s="16" t="str">
        <x:v>https://annualreport.hku.hk/2025/annual-accounts.html</x:v>
      </x:c>
      <x:c r="H18" s="16" t="str"/>
      <x:c r="I18" s="16" t="str">
        <x:v>Medium/Check basis</x:v>
      </x:c>
    </x:row>
    <x:row r="19">
      <x:c r="A19" s="16" t="n">
        <x:v>11</x:v>
      </x:c>
      <x:c r="B19" s="16" t="str">
        <x:v>The University of Hong Kong</x:v>
      </x:c>
      <x:c r="C19" s="16" t="str">
        <x:v>FY2024/25</x:v>
      </x:c>
      <x:c r="D19" s="16" t="str">
        <x:v>HKD</x:v>
      </x:c>
      <x:c r="E19" s="16" t="str">
        <x:v>Surplus for year</x:v>
      </x:c>
      <x:c r="F19" s="48" t="n">
        <x:v>4807.678</x:v>
      </x:c>
      <x:c r="G19" s="16" t="str">
        <x:v>https://annualreport.hku.hk/2025/annual-accounts.html</x:v>
      </x:c>
      <x:c r="H19" s="16" t="str"/>
      <x:c r="I19" s="16" t="str">
        <x:v>Medium/Check basis</x:v>
      </x:c>
    </x:row>
    <x:row r="20">
      <x:c r="A20" s="16" t="n">
        <x:v>19</x:v>
      </x:c>
      <x:c r="B20" s="16" t="str">
        <x:v>The University of New South Wales (UNSW Sydney)</x:v>
      </x:c>
      <x:c r="C20" s="16" t="str">
        <x:v>FY2022</x:v>
      </x:c>
      <x:c r="D20" s="16" t="str">
        <x:v>AUD</x:v>
      </x:c>
      <x:c r="E20" s="16" t="str">
        <x:v>Net operating result after income tax</x:v>
      </x:c>
      <x:c r="F20" s="48" t="n">
        <x:v>-162.649</x:v>
      </x:c>
      <x:c r="G20" s="16" t="str">
        <x:v>https://www.education.gov.au/download/17857/finance-2022-financial-reports-higher-education-providers/36064/2022-higher-education-providers-finance-tables/csv</x:v>
      </x:c>
      <x:c r="H20" s="16" t="str">
        <x:v>Standardized Australian Department of Education financial table.</x:v>
      </x:c>
      <x:c r="I20" s="16" t="str">
        <x:v>Medium/Check basis</x:v>
      </x:c>
    </x:row>
    <x:row r="21">
      <x:c r="A21" s="16" t="n">
        <x:v>19</x:v>
      </x:c>
      <x:c r="B21" s="16" t="str">
        <x:v>The University of New South Wales (UNSW Sydney)</x:v>
      </x:c>
      <x:c r="C21" s="16" t="str">
        <x:v>FY2023</x:v>
      </x:c>
      <x:c r="D21" s="16" t="str">
        <x:v>AUD</x:v>
      </x:c>
      <x:c r="E21" s="16" t="str">
        <x:v>Net operating result after income tax</x:v>
      </x:c>
      <x:c r="F21" s="48" t="n">
        <x:v>-84.871</x:v>
      </x:c>
      <x:c r="G21" s="16" t="str">
        <x:v>https://www.education.gov.au/download/18872/finance-2023-financial-reports-higher-education-providers/40112/2023-higher-education-providers-finance-tables/csv</x:v>
      </x:c>
      <x:c r="H21" s="16" t="str">
        <x:v>Standardized Australian Department of Education financial table.</x:v>
      </x:c>
      <x:c r="I21" s="16" t="str">
        <x:v>Medium/Check basis</x:v>
      </x:c>
    </x:row>
    <x:row r="22">
      <x:c r="A22" s="16" t="n">
        <x:v>19</x:v>
      </x:c>
      <x:c r="B22" s="16" t="str">
        <x:v>The University of New South Wales (UNSW Sydney)</x:v>
      </x:c>
      <x:c r="C22" s="16" t="str">
        <x:v>FY2024</x:v>
      </x:c>
      <x:c r="D22" s="16" t="str">
        <x:v>AUD</x:v>
      </x:c>
      <x:c r="E22" s="16" t="str">
        <x:v>Net operating result after income tax</x:v>
      </x:c>
      <x:c r="F22" s="48" t="n">
        <x:v>131.175</x:v>
      </x:c>
      <x:c r="G22" s="16" t="str">
        <x:v>https://www.education.gov.au/download/19832/finance-2024-financial-reports-higher-education-providers/43010/2024-higher-education-providers-finance-tables/csv</x:v>
      </x:c>
      <x:c r="H22" s="16" t="str">
        <x:v>Standardized Australian Department of Education financial table.</x:v>
      </x:c>
      <x:c r="I22" s="16" t="str">
        <x:v>Medium/Check basis</x:v>
      </x:c>
    </x:row>
    <x:row r="23">
      <x:c r="A23" s="16" t="n">
        <x:v>22</x:v>
      </x:c>
      <x:c r="B23" s="16" t="str">
        <x:v>The University of Melbourne</x:v>
      </x:c>
      <x:c r="C23" s="16" t="str">
        <x:v>FY2022</x:v>
      </x:c>
      <x:c r="D23" s="16" t="str">
        <x:v>AUD</x:v>
      </x:c>
      <x:c r="E23" s="16" t="str">
        <x:v>Net operating result after income tax</x:v>
      </x:c>
      <x:c r="F23" s="48" t="n">
        <x:v>-202.632</x:v>
      </x:c>
      <x:c r="G23" s="16" t="str">
        <x:v>https://www.education.gov.au/download/17857/finance-2022-financial-reports-higher-education-providers/36064/2022-higher-education-providers-finance-tables/csv</x:v>
      </x:c>
      <x:c r="H23" s="16" t="str">
        <x:v>Standardized Australian Department of Education financial table.</x:v>
      </x:c>
      <x:c r="I23" s="16" t="str">
        <x:v>Medium/Check basis</x:v>
      </x:c>
    </x:row>
    <x:row r="24">
      <x:c r="A24" s="16" t="n">
        <x:v>22</x:v>
      </x:c>
      <x:c r="B24" s="16" t="str">
        <x:v>The University of Melbourne</x:v>
      </x:c>
      <x:c r="C24" s="16" t="str">
        <x:v>FY2023</x:v>
      </x:c>
      <x:c r="D24" s="16" t="str">
        <x:v>AUD</x:v>
      </x:c>
      <x:c r="E24" s="16" t="str">
        <x:v>Net operating result after income tax</x:v>
      </x:c>
      <x:c r="F24" s="48" t="n">
        <x:v>156.3</x:v>
      </x:c>
      <x:c r="G24" s="16" t="str">
        <x:v>https://www.education.gov.au/download/18872/finance-2023-financial-reports-higher-education-providers/40112/2023-higher-education-providers-finance-tables/csv</x:v>
      </x:c>
      <x:c r="H24" s="16" t="str">
        <x:v>Standardized Australian Department of Education financial table.</x:v>
      </x:c>
      <x:c r="I24" s="16" t="str">
        <x:v>Medium/Check basis</x:v>
      </x:c>
    </x:row>
    <x:row r="25">
      <x:c r="A25" s="16" t="n">
        <x:v>22</x:v>
      </x:c>
      <x:c r="B25" s="16" t="str">
        <x:v>The University of Melbourne</x:v>
      </x:c>
      <x:c r="C25" s="16" t="str">
        <x:v>FY2024</x:v>
      </x:c>
      <x:c r="D25" s="16" t="str">
        <x:v>AUD</x:v>
      </x:c>
      <x:c r="E25" s="16" t="str">
        <x:v>Net operating result after income tax</x:v>
      </x:c>
      <x:c r="F25" s="48" t="n">
        <x:v>272.704</x:v>
      </x:c>
      <x:c r="G25" s="16" t="str">
        <x:v>https://www.education.gov.au/download/19832/finance-2024-financial-reports-higher-education-providers/43010/2024-higher-education-providers-finance-tables/csv</x:v>
      </x:c>
      <x:c r="H25" s="16" t="str">
        <x:v>Standardized Australian Department of Education financial table.</x:v>
      </x:c>
      <x:c r="I25" s="16" t="str">
        <x:v>Medium/Check basis</x:v>
      </x:c>
    </x:row>
    <x:row r="26">
      <x:c r="A26" s="16" t="n">
        <x:v>28</x:v>
      </x:c>
      <x:c r="B26" s="16" t="str">
        <x:v>The University of Sydney</x:v>
      </x:c>
      <x:c r="C26" s="16" t="str">
        <x:v>FY2022</x:v>
      </x:c>
      <x:c r="D26" s="16" t="str">
        <x:v>AUD</x:v>
      </x:c>
      <x:c r="E26" s="16" t="str">
        <x:v>Net operating result after income tax</x:v>
      </x:c>
      <x:c r="F26" s="48" t="n">
        <x:v>298.497</x:v>
      </x:c>
      <x:c r="G26" s="16" t="str">
        <x:v>https://www.education.gov.au/download/17857/finance-2022-financial-reports-higher-education-providers/36064/2022-higher-education-providers-finance-tables/csv</x:v>
      </x:c>
      <x:c r="H26" s="16" t="str">
        <x:v>Standardized Australian Department of Education financial table.</x:v>
      </x:c>
      <x:c r="I26" s="16" t="str">
        <x:v>Medium/Check basis</x:v>
      </x:c>
    </x:row>
    <x:row r="27">
      <x:c r="A27" s="16" t="n">
        <x:v>28</x:v>
      </x:c>
      <x:c r="B27" s="16" t="str">
        <x:v>The University of Sydney</x:v>
      </x:c>
      <x:c r="C27" s="16" t="str">
        <x:v>FY2023</x:v>
      </x:c>
      <x:c r="D27" s="16" t="str">
        <x:v>AUD</x:v>
      </x:c>
      <x:c r="E27" s="16" t="str">
        <x:v>Net operating result after income tax</x:v>
      </x:c>
      <x:c r="F27" s="48" t="n">
        <x:v>351.769</x:v>
      </x:c>
      <x:c r="G27" s="16" t="str">
        <x:v>https://www.education.gov.au/download/18872/finance-2023-financial-reports-higher-education-providers/40112/2023-higher-education-providers-finance-tables/csv</x:v>
      </x:c>
      <x:c r="H27" s="16" t="str">
        <x:v>Standardized Australian Department of Education financial table.</x:v>
      </x:c>
      <x:c r="I27" s="16" t="str">
        <x:v>Medium/Check basis</x:v>
      </x:c>
    </x:row>
    <x:row r="28">
      <x:c r="A28" s="16" t="n">
        <x:v>28</x:v>
      </x:c>
      <x:c r="B28" s="16" t="str">
        <x:v>The University of Sydney</x:v>
      </x:c>
      <x:c r="C28" s="16" t="str">
        <x:v>FY2024</x:v>
      </x:c>
      <x:c r="D28" s="16" t="str">
        <x:v>AUD</x:v>
      </x:c>
      <x:c r="E28" s="16" t="str">
        <x:v>Net operating result after income tax</x:v>
      </x:c>
      <x:c r="F28" s="48" t="n">
        <x:v>545.272</x:v>
      </x:c>
      <x:c r="G28" s="16" t="str">
        <x:v>https://www.education.gov.au/download/19832/finance-2024-financial-reports-higher-education-providers/43010/2024-higher-education-providers-finance-tables/csv</x:v>
      </x:c>
      <x:c r="H28" s="16" t="str">
        <x:v>Standardized Australian Department of Education financial table.</x:v>
      </x:c>
      <x:c r="I28" s="16" t="str">
        <x:v>Medium/Check basis</x:v>
      </x:c>
    </x:row>
    <x:row r="29">
      <x:c r="A29" s="16" t="n">
        <x:v>29</x:v>
      </x:c>
      <x:c r="B29" s="16" t="str">
        <x:v>Australian National University (ANU)</x:v>
      </x:c>
      <x:c r="C29" s="16" t="str">
        <x:v>FY2022</x:v>
      </x:c>
      <x:c r="D29" s="16" t="str">
        <x:v>AUD</x:v>
      </x:c>
      <x:c r="E29" s="16" t="str">
        <x:v>Net operating result after income tax</x:v>
      </x:c>
      <x:c r="F29" s="48" t="n">
        <x:v>-139.568</x:v>
      </x:c>
      <x:c r="G29" s="16" t="str">
        <x:v>https://www.education.gov.au/download/17857/finance-2022-financial-reports-higher-education-providers/36064/2022-higher-education-providers-finance-tables/csv</x:v>
      </x:c>
      <x:c r="H29" s="16" t="str">
        <x:v>Standardized Australian Department of Education financial table.</x:v>
      </x:c>
      <x:c r="I29" s="16" t="str">
        <x:v>Medium/Check basis</x:v>
      </x:c>
    </x:row>
    <x:row r="30">
      <x:c r="A30" s="16" t="n">
        <x:v>29</x:v>
      </x:c>
      <x:c r="B30" s="16" t="str">
        <x:v>Australian National University (ANU)</x:v>
      </x:c>
      <x:c r="C30" s="16" t="str">
        <x:v>FY2023</x:v>
      </x:c>
      <x:c r="D30" s="16" t="str">
        <x:v>AUD</x:v>
      </x:c>
      <x:c r="E30" s="16" t="str">
        <x:v>Net operating result after income tax</x:v>
      </x:c>
      <x:c r="F30" s="48" t="n">
        <x:v>146.595</x:v>
      </x:c>
      <x:c r="G30" s="16" t="str">
        <x:v>https://www.education.gov.au/download/18872/finance-2023-financial-reports-higher-education-providers/40112/2023-higher-education-providers-finance-tables/csv</x:v>
      </x:c>
      <x:c r="H30" s="16" t="str">
        <x:v>Standardized Australian Department of Education financial table.</x:v>
      </x:c>
      <x:c r="I30" s="16" t="str">
        <x:v>Medium/Check basis</x:v>
      </x:c>
    </x:row>
    <x:row r="31">
      <x:c r="A31" s="16" t="n">
        <x:v>29</x:v>
      </x:c>
      <x:c r="B31" s="16" t="str">
        <x:v>Australian National University (ANU)</x:v>
      </x:c>
      <x:c r="C31" s="16" t="str">
        <x:v>FY2024</x:v>
      </x:c>
      <x:c r="D31" s="16" t="str">
        <x:v>AUD</x:v>
      </x:c>
      <x:c r="E31" s="16" t="str">
        <x:v>Net operating result after income tax</x:v>
      </x:c>
      <x:c r="F31" s="48" t="n">
        <x:v>87.117</x:v>
      </x:c>
      <x:c r="G31" s="16" t="str">
        <x:v>https://www.education.gov.au/download/19832/finance-2024-financial-reports-higher-education-providers/43010/2024-higher-education-providers-finance-tables/csv</x:v>
      </x:c>
      <x:c r="H31" s="16" t="str">
        <x:v>Standardized Australian Department of Education financial table.</x:v>
      </x:c>
      <x:c r="I31" s="16" t="str">
        <x:v>Medium/Check basis</x:v>
      </x:c>
    </x:row>
    <x:row r="32">
      <x:c r="A32" s="16" t="n">
        <x:v>31</x:v>
      </x:c>
      <x:c r="B32" s="16" t="str">
        <x:v>Monash University</x:v>
      </x:c>
      <x:c r="C32" s="16" t="str">
        <x:v>FY2022</x:v>
      </x:c>
      <x:c r="D32" s="16" t="str">
        <x:v>AUD</x:v>
      </x:c>
      <x:c r="E32" s="16" t="str">
        <x:v>Net operating result after income tax</x:v>
      </x:c>
      <x:c r="F32" s="48" t="n">
        <x:v>-113.593</x:v>
      </x:c>
      <x:c r="G32" s="16" t="str">
        <x:v>https://www.education.gov.au/download/17857/finance-2022-financial-reports-higher-education-providers/36064/2022-higher-education-providers-finance-tables/csv</x:v>
      </x:c>
      <x:c r="H32" s="16" t="str">
        <x:v>Standardized Australian Department of Education financial table.</x:v>
      </x:c>
      <x:c r="I32" s="16" t="str">
        <x:v>Medium/Check basis</x:v>
      </x:c>
    </x:row>
    <x:row r="33">
      <x:c r="A33" s="16" t="n">
        <x:v>31</x:v>
      </x:c>
      <x:c r="B33" s="16" t="str">
        <x:v>Monash University</x:v>
      </x:c>
      <x:c r="C33" s="16" t="str">
        <x:v>FY2023</x:v>
      </x:c>
      <x:c r="D33" s="16" t="str">
        <x:v>AUD</x:v>
      </x:c>
      <x:c r="E33" s="16" t="str">
        <x:v>Net operating result after income tax</x:v>
      </x:c>
      <x:c r="F33" s="48" t="n">
        <x:v>-9.031</x:v>
      </x:c>
      <x:c r="G33" s="16" t="str">
        <x:v>https://www.education.gov.au/download/18872/finance-2023-financial-reports-higher-education-providers/40112/2023-higher-education-providers-finance-tables/csv</x:v>
      </x:c>
      <x:c r="H33" s="16" t="str">
        <x:v>Standardized Australian Department of Education financial table.</x:v>
      </x:c>
      <x:c r="I33" s="16" t="str">
        <x:v>Medium/Check basis</x:v>
      </x:c>
    </x:row>
    <x:row r="34">
      <x:c r="A34" s="16" t="n">
        <x:v>31</x:v>
      </x:c>
      <x:c r="B34" s="16" t="str">
        <x:v>Monash University</x:v>
      </x:c>
      <x:c r="C34" s="16" t="str">
        <x:v>FY2024</x:v>
      </x:c>
      <x:c r="D34" s="16" t="str">
        <x:v>AUD</x:v>
      </x:c>
      <x:c r="E34" s="16" t="str">
        <x:v>Net operating result after income tax</x:v>
      </x:c>
      <x:c r="F34" s="48" t="n">
        <x:v>180.794</x:v>
      </x:c>
      <x:c r="G34" s="16" t="str">
        <x:v>https://www.education.gov.au/download/19832/finance-2024-financial-reports-higher-education-providers/43010/2024-higher-education-providers-finance-tables/csv</x:v>
      </x:c>
      <x:c r="H34" s="16" t="str">
        <x:v>Standardized Australian Department of Education financial table.</x:v>
      </x:c>
      <x:c r="I34" s="16" t="str">
        <x:v>Medium/Check basis</x:v>
      </x:c>
    </x:row>
    <x:row r="35">
      <x:c r="A35" s="16" t="n">
        <x:v>40</x:v>
      </x:c>
      <x:c r="B35" s="16" t="str">
        <x:v>The University of Queensland</x:v>
      </x:c>
      <x:c r="C35" s="16" t="str">
        <x:v>FY2022</x:v>
      </x:c>
      <x:c r="D35" s="16" t="str">
        <x:v>AUD</x:v>
      </x:c>
      <x:c r="E35" s="16" t="str">
        <x:v>Net operating result after income tax</x:v>
      </x:c>
      <x:c r="F35" s="48" t="n">
        <x:v>-318.589</x:v>
      </x:c>
      <x:c r="G35" s="16" t="str">
        <x:v>https://www.education.gov.au/download/17857/finance-2022-financial-reports-higher-education-providers/36064/2022-higher-education-providers-finance-tables/csv</x:v>
      </x:c>
      <x:c r="H35" s="16" t="str">
        <x:v>Standardized Australian Department of Education financial table.</x:v>
      </x:c>
      <x:c r="I35" s="16" t="str">
        <x:v>Medium/Check basis</x:v>
      </x:c>
    </x:row>
    <x:row r="36">
      <x:c r="A36" s="16" t="n">
        <x:v>40</x:v>
      </x:c>
      <x:c r="B36" s="16" t="str">
        <x:v>The University of Queensland</x:v>
      </x:c>
      <x:c r="C36" s="16" t="str">
        <x:v>FY2023</x:v>
      </x:c>
      <x:c r="D36" s="16" t="str">
        <x:v>AUD</x:v>
      </x:c>
      <x:c r="E36" s="16" t="str">
        <x:v>Net operating result after income tax</x:v>
      </x:c>
      <x:c r="F36" s="48" t="n">
        <x:v>117.674</x:v>
      </x:c>
      <x:c r="G36" s="16" t="str">
        <x:v>https://www.education.gov.au/download/18872/finance-2023-financial-reports-higher-education-providers/40112/2023-higher-education-providers-finance-tables/csv</x:v>
      </x:c>
      <x:c r="H36" s="16" t="str">
        <x:v>Standardized Australian Department of Education financial table.</x:v>
      </x:c>
      <x:c r="I36" s="16" t="str">
        <x:v>Medium/Check basis</x:v>
      </x:c>
    </x:row>
    <x:row r="37">
      <x:c r="A37" s="16" t="n">
        <x:v>40</x:v>
      </x:c>
      <x:c r="B37" s="16" t="str">
        <x:v>The University of Queensland</x:v>
      </x:c>
      <x:c r="C37" s="16" t="str">
        <x:v>FY2024</x:v>
      </x:c>
      <x:c r="D37" s="16" t="str">
        <x:v>AUD</x:v>
      </x:c>
      <x:c r="E37" s="16" t="str">
        <x:v>Net operating result after income tax</x:v>
      </x:c>
      <x:c r="F37" s="48" t="n">
        <x:v>279.547</x:v>
      </x:c>
      <x:c r="G37" s="16" t="str">
        <x:v>https://www.education.gov.au/download/19832/finance-2024-financial-reports-higher-education-providers/43010/2024-higher-education-providers-finance-tables/csv</x:v>
      </x:c>
      <x:c r="H37" s="16" t="str">
        <x:v>Standardized Australian Department of Education financial table.</x:v>
      </x:c>
      <x:c r="I37" s="16" t="str">
        <x:v>Medium/Check basis</x:v>
      </x:c>
    </x:row>
    <x:row r="38">
      <x:c r="A38" s="16" t="n">
        <x:v>77</x:v>
      </x:c>
      <x:c r="B38" s="16" t="str">
        <x:v>The University of Western Australia</x:v>
      </x:c>
      <x:c r="C38" s="16" t="str">
        <x:v>FY2022</x:v>
      </x:c>
      <x:c r="D38" s="16" t="str">
        <x:v>AUD</x:v>
      </x:c>
      <x:c r="E38" s="16" t="str">
        <x:v>Net operating result after income tax</x:v>
      </x:c>
      <x:c r="F38" s="48" t="n">
        <x:v>19.359</x:v>
      </x:c>
      <x:c r="G38" s="16" t="str">
        <x:v>https://www.education.gov.au/download/17857/finance-2022-financial-reports-higher-education-providers/36064/2022-higher-education-providers-finance-tables/csv</x:v>
      </x:c>
      <x:c r="H38" s="16" t="str">
        <x:v>Standardized Australian Department of Education financial table.</x:v>
      </x:c>
      <x:c r="I38" s="16" t="str">
        <x:v>Medium/Check basis</x:v>
      </x:c>
    </x:row>
    <x:row r="39">
      <x:c r="A39" s="16" t="n">
        <x:v>77</x:v>
      </x:c>
      <x:c r="B39" s="16" t="str">
        <x:v>The University of Western Australia</x:v>
      </x:c>
      <x:c r="C39" s="16" t="str">
        <x:v>FY2023</x:v>
      </x:c>
      <x:c r="D39" s="16" t="str">
        <x:v>AUD</x:v>
      </x:c>
      <x:c r="E39" s="16" t="str">
        <x:v>Net operating result after income tax</x:v>
      </x:c>
      <x:c r="F39" s="48" t="n">
        <x:v>88.094</x:v>
      </x:c>
      <x:c r="G39" s="16" t="str">
        <x:v>https://www.education.gov.au/download/18872/finance-2023-financial-reports-higher-education-providers/40112/2023-higher-education-providers-finance-tables/csv</x:v>
      </x:c>
      <x:c r="H39" s="16" t="str">
        <x:v>Standardized Australian Department of Education financial table.</x:v>
      </x:c>
      <x:c r="I39" s="16" t="str">
        <x:v>Medium/Check basis</x:v>
      </x:c>
    </x:row>
    <x:row r="40">
      <x:c r="A40" s="16" t="n">
        <x:v>77</x:v>
      </x:c>
      <x:c r="B40" s="16" t="str">
        <x:v>The University of Western Australia</x:v>
      </x:c>
      <x:c r="C40" s="16" t="str">
        <x:v>FY2024</x:v>
      </x:c>
      <x:c r="D40" s="16" t="str">
        <x:v>AUD</x:v>
      </x:c>
      <x:c r="E40" s="16" t="str">
        <x:v>Net operating result after income tax</x:v>
      </x:c>
      <x:c r="F40" s="48" t="n">
        <x:v>197.396</x:v>
      </x:c>
      <x:c r="G40" s="16" t="str">
        <x:v>https://www.education.gov.au/download/19832/finance-2024-financial-reports-higher-education-providers/43010/2024-higher-education-providers-finance-tables/csv</x:v>
      </x:c>
      <x:c r="H40" s="16" t="str">
        <x:v>Standardized Australian Department of Education financial table.</x:v>
      </x:c>
      <x:c r="I40" s="16" t="str">
        <x:v>Medium/Check basis</x:v>
      </x:c>
    </x:row>
    <x:row r="41">
      <x:c r="A41" s="16" t="n">
        <x:v>87</x:v>
      </x:c>
      <x:c r="B41" s="16" t="str">
        <x:v>The University of Technology Sydney (UTS)</x:v>
      </x:c>
      <x:c r="C41" s="16" t="str">
        <x:v>FY2022</x:v>
      </x:c>
      <x:c r="D41" s="16" t="str">
        <x:v>AUD</x:v>
      </x:c>
      <x:c r="E41" s="16" t="str">
        <x:v>Net operating result after income tax</x:v>
      </x:c>
      <x:c r="F41" s="48" t="n">
        <x:v>-52.542</x:v>
      </x:c>
      <x:c r="G41" s="16" t="str">
        <x:v>https://www.education.gov.au/download/17857/finance-2022-financial-reports-higher-education-providers/36064/2022-higher-education-providers-finance-tables/csv</x:v>
      </x:c>
      <x:c r="H41" s="16" t="str">
        <x:v>Standardized Australian Department of Education financial table.</x:v>
      </x:c>
      <x:c r="I41" s="16" t="str">
        <x:v>Medium/Check basis</x:v>
      </x:c>
    </x:row>
    <x:row r="42">
      <x:c r="A42" s="16" t="n">
        <x:v>87</x:v>
      </x:c>
      <x:c r="B42" s="16" t="str">
        <x:v>The University of Technology Sydney (UTS)</x:v>
      </x:c>
      <x:c r="C42" s="16" t="str">
        <x:v>FY2023</x:v>
      </x:c>
      <x:c r="D42" s="16" t="str">
        <x:v>AUD</x:v>
      </x:c>
      <x:c r="E42" s="16" t="str">
        <x:v>Net operating result after income tax</x:v>
      </x:c>
      <x:c r="F42" s="48" t="n">
        <x:v>-107.025</x:v>
      </x:c>
      <x:c r="G42" s="16" t="str">
        <x:v>https://www.education.gov.au/download/18872/finance-2023-financial-reports-higher-education-providers/40112/2023-higher-education-providers-finance-tables/csv</x:v>
      </x:c>
      <x:c r="H42" s="16" t="str">
        <x:v>Standardized Australian Department of Education financial table.</x:v>
      </x:c>
      <x:c r="I42" s="16" t="str">
        <x:v>Medium/Check basis</x:v>
      </x:c>
    </x:row>
    <x:row r="43">
      <x:c r="A43" s="16" t="n">
        <x:v>87</x:v>
      </x:c>
      <x:c r="B43" s="16" t="str">
        <x:v>The University of Technology Sydney (UTS)</x:v>
      </x:c>
      <x:c r="C43" s="16" t="str">
        <x:v>FY2024</x:v>
      </x:c>
      <x:c r="D43" s="16" t="str">
        <x:v>AUD</x:v>
      </x:c>
      <x:c r="E43" s="16" t="str">
        <x:v>Net operating result after income tax</x:v>
      </x:c>
      <x:c r="F43" s="48" t="n">
        <x:v>-80.825</x:v>
      </x:c>
      <x:c r="G43" s="16" t="str">
        <x:v>https://www.education.gov.au/download/19832/finance-2024-financial-reports-higher-education-providers/43010/2024-higher-education-providers-finance-tables/csv</x:v>
      </x:c>
      <x:c r="H43" s="16" t="str">
        <x:v>Standardized Australian Department of Education financial table.</x:v>
      </x:c>
      <x:c r="I43" s="16" t="str">
        <x:v>Medium/Check basis</x:v>
      </x:c>
    </x:row>
  </x:sheetData>
  <x:mergeCells>
    <x:mergeCell ref="A1:I1"/>
  </x:mergeCells>
  <x:conditionalFormatting sqref="F4:F43">
    <x:cfRule type="expression" dxfId="4" priority="1">
      <x:formula>F4&lt;0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6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6" hidden="0" customWidth="1"/>
    <x:col min="18" max="18" width="16" hidden="0" customWidth="1"/>
    <x:col min="19" max="19" width="14" hidden="0" customWidth="1"/>
    <x:col min="20" max="20" width="12" hidden="0" customWidth="1"/>
    <x:col min="21" max="21" width="12" hidden="0" customWidth="1"/>
    <x:col min="22" max="22" width="14" hidden="0" customWidth="1"/>
  </x:cols>
  <x:sheetData>
    <x:row r="1" ht="28" customHeight="1">
      <x:c r="A1" s="5" t="str">
        <x:v>Australia Top-100 Universities - Standardized 3-Year Panel (A$m)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3">
      <x:c r="A3" s="31" t="str">
        <x:v>QS Rank</x:v>
      </x:c>
      <x:c r="B3" s="31" t="str">
        <x:v>Institution</x:v>
      </x:c>
      <x:c r="C3" s="31" t="str">
        <x:v>Year</x:v>
      </x:c>
      <x:c r="D3" s="31" t="str">
        <x:v>Revenue</x:v>
      </x:c>
      <x:c r="E3" s="31" t="str">
        <x:v>Expenses</x:v>
      </x:c>
      <x:c r="F3" s="31" t="str">
        <x:v>Net result</x:v>
      </x:c>
      <x:c r="G3" s="31" t="str">
        <x:v>Margin</x:v>
      </x:c>
      <x:c r="H3" s="31" t="str">
        <x:v>Student contributions</x:v>
      </x:c>
      <x:c r="I3" s="31" t="str">
        <x:v>Australian govt</x:v>
      </x:c>
      <x:c r="J3" s="31" t="str">
        <x:v>State/local</x:v>
      </x:c>
      <x:c r="K3" s="31" t="str">
        <x:v>Fees &amp; charges</x:v>
      </x:c>
      <x:c r="L3" s="31" t="str">
        <x:v>International students</x:v>
      </x:c>
      <x:c r="M3" s="31" t="str">
        <x:v>Intl share of revenue</x:v>
      </x:c>
      <x:c r="N3" s="31" t="str">
        <x:v>Investment income</x:v>
      </x:c>
      <x:c r="O3" s="31" t="str">
        <x:v>Consultancy/contracts</x:v>
      </x:c>
      <x:c r="P3" s="31" t="str">
        <x:v>Other income</x:v>
      </x:c>
      <x:c r="Q3" s="31" t="str">
        <x:v>Employee expense</x:v>
      </x:c>
      <x:c r="R3" s="31" t="str">
        <x:v>Employee share of expense</x:v>
      </x:c>
      <x:c r="S3" s="31" t="str">
        <x:v>Depreciation</x:v>
      </x:c>
      <x:c r="T3" s="31" t="str">
        <x:v>Repairs</x:v>
      </x:c>
      <x:c r="U3" s="31" t="str">
        <x:v>Borrowing</x:v>
      </x:c>
      <x:c r="V3" s="31" t="str">
        <x:v>Other expenses</x:v>
      </x:c>
    </x:row>
    <x:row r="4">
      <x:c r="A4" s="16" t="n">
        <x:v>19</x:v>
      </x:c>
      <x:c r="B4" s="16" t="str">
        <x:v>The University of New South Wales (UNSW Sydney)</x:v>
      </x:c>
      <x:c r="C4" s="16" t="n">
        <x:v>2022</x:v>
      </x:c>
      <x:c r="D4" s="48" t="n">
        <x:v>2287.369</x:v>
      </x:c>
      <x:c r="E4" s="48" t="n">
        <x:v>2450.018</x:v>
      </x:c>
      <x:c r="F4" s="48" t="n">
        <x:v>-162.649</x:v>
      </x:c>
      <x:c r="G4" s="49" t="n">
        <x:f>F4/D4</x:f>
        <x:v>-0.07110746014307268</x:v>
      </x:c>
      <x:c r="H4" s="48" t="n">
        <x:v>0</x:v>
      </x:c>
      <x:c r="I4" s="48" t="n">
        <x:v>1120.053</x:v>
      </x:c>
      <x:c r="J4" s="48" t="n">
        <x:v>0</x:v>
      </x:c>
      <x:c r="K4" s="48" t="n">
        <x:v>904.543</x:v>
      </x:c>
      <x:c r="L4" s="48" t="n">
        <x:v>719.209</x:v>
      </x:c>
      <x:c r="M4" s="49" t="n">
        <x:f>L4/D4</x:f>
        <x:v>0.31442631250139347</x:v>
      </x:c>
      <x:c r="N4" s="48" t="n">
        <x:v>-19.923</x:v>
      </x:c>
      <x:c r="O4" s="48" t="n">
        <x:v>116.758</x:v>
      </x:c>
      <x:c r="P4" s="48" t="n">
        <x:v>87.893</x:v>
      </x:c>
      <x:c r="Q4" s="48" t="n">
        <x:v>1315.807</x:v>
      </x:c>
      <x:c r="R4" s="49" t="n">
        <x:f>Q4/E4</x:f>
        <x:v>0.5370601358847159</x:v>
      </x:c>
      <x:c r="S4" s="48" t="n">
        <x:v>220.718</x:v>
      </x:c>
      <x:c r="T4" s="48" t="n">
        <x:v>42.358</x:v>
      </x:c>
      <x:c r="U4" s="48" t="n">
        <x:v>0</x:v>
      </x:c>
      <x:c r="V4" s="48" t="n">
        <x:v>850.354</x:v>
      </x:c>
    </x:row>
    <x:row r="5">
      <x:c r="A5" s="16" t="n">
        <x:v>19</x:v>
      </x:c>
      <x:c r="B5" s="16" t="str">
        <x:v>The University of New South Wales (UNSW Sydney)</x:v>
      </x:c>
      <x:c r="C5" s="16" t="n">
        <x:v>2023</x:v>
      </x:c>
      <x:c r="D5" s="48" t="n">
        <x:v>2620.028</x:v>
      </x:c>
      <x:c r="E5" s="48" t="n">
        <x:v>2704.899</x:v>
      </x:c>
      <x:c r="F5" s="48" t="n">
        <x:v>-84.871</x:v>
      </x:c>
      <x:c r="G5" s="49" t="n">
        <x:f>F5/D5</x:f>
        <x:v>-0.032393165263882674</x:v>
      </x:c>
      <x:c r="H5" s="48" t="n">
        <x:v>34.003</x:v>
      </x:c>
      <x:c r="I5" s="48" t="n">
        <x:v>1175.119</x:v>
      </x:c>
      <x:c r="J5" s="48" t="n">
        <x:v>49.312</x:v>
      </x:c>
      <x:c r="K5" s="48" t="n">
        <x:v>1045.471</x:v>
      </x:c>
      <x:c r="L5" s="48" t="n">
        <x:v>829.578</x:v>
      </x:c>
      <x:c r="M5" s="49" t="n">
        <x:f>L5/D5</x:f>
        <x:v>0.3166294406013982</x:v>
      </x:c>
      <x:c r="N5" s="48" t="n">
        <x:v>77.291</x:v>
      </x:c>
      <x:c r="O5" s="48" t="n">
        <x:v>110.465</x:v>
      </x:c>
      <x:c r="P5" s="48" t="n">
        <x:v>127.099</x:v>
      </x:c>
      <x:c r="Q5" s="48" t="n">
        <x:v>1397.563</x:v>
      </x:c>
      <x:c r="R5" s="49" t="n">
        <x:f>Q5/E5</x:f>
        <x:v>0.5166784415980042</x:v>
      </x:c>
      <x:c r="S5" s="48" t="n">
        <x:v>242.486</x:v>
      </x:c>
      <x:c r="T5" s="48" t="n">
        <x:v>46.854</x:v>
      </x:c>
      <x:c r="U5" s="48" t="n">
        <x:v>13.03</x:v>
      </x:c>
      <x:c r="V5" s="48" t="n">
        <x:v>997.31</x:v>
      </x:c>
    </x:row>
    <x:row r="6">
      <x:c r="A6" s="16" t="n">
        <x:v>19</x:v>
      </x:c>
      <x:c r="B6" s="16" t="str">
        <x:v>The University of New South Wales (UNSW Sydney)</x:v>
      </x:c>
      <x:c r="C6" s="16" t="n">
        <x:v>2024</x:v>
      </x:c>
      <x:c r="D6" s="48" t="n">
        <x:v>3285.554</x:v>
      </x:c>
      <x:c r="E6" s="48" t="n">
        <x:v>3154.379</x:v>
      </x:c>
      <x:c r="F6" s="48" t="n">
        <x:v>131.175</x:v>
      </x:c>
      <x:c r="G6" s="49" t="n">
        <x:f>F6/D6</x:f>
        <x:v>0.039924773721570245</x:v>
      </x:c>
      <x:c r="H6" s="48" t="n">
        <x:v>41.716</x:v>
      </x:c>
      <x:c r="I6" s="48" t="n">
        <x:v>1258.15</x:v>
      </x:c>
      <x:c r="J6" s="48" t="n">
        <x:v>51.549</x:v>
      </x:c>
      <x:c r="K6" s="48" t="n">
        <x:v>1547.633</x:v>
      </x:c>
      <x:c r="L6" s="48" t="n">
        <x:v>1313.166</x:v>
      </x:c>
      <x:c r="M6" s="49" t="n">
        <x:f>L6/D6</x:f>
        <x:v>0.3996787147616505</x:v>
      </x:c>
      <x:c r="N6" s="48" t="n">
        <x:v>118.621</x:v>
      </x:c>
      <x:c r="O6" s="48" t="n">
        <x:v>170.875</x:v>
      </x:c>
      <x:c r="P6" s="48" t="n">
        <x:v>96.307</x:v>
      </x:c>
      <x:c r="Q6" s="48" t="n">
        <x:v>1624.269</x:v>
      </x:c>
      <x:c r="R6" s="49" t="n">
        <x:f>Q6/E6</x:f>
        <x:v>0.51492512472344</x:v>
      </x:c>
      <x:c r="S6" s="48" t="n">
        <x:v>252.611</x:v>
      </x:c>
      <x:c r="T6" s="48" t="n">
        <x:v>52.138</x:v>
      </x:c>
      <x:c r="U6" s="48" t="n">
        <x:v>14.98</x:v>
      </x:c>
      <x:c r="V6" s="48" t="n">
        <x:v>1167.911</x:v>
      </x:c>
    </x:row>
    <x:row r="7">
      <x:c r="A7" s="16" t="n">
        <x:v>22</x:v>
      </x:c>
      <x:c r="B7" s="16" t="str">
        <x:v>The University of Melbourne</x:v>
      </x:c>
      <x:c r="C7" s="16" t="n">
        <x:v>2022</x:v>
      </x:c>
      <x:c r="D7" s="48" t="n">
        <x:v>2669.229</x:v>
      </x:c>
      <x:c r="E7" s="48" t="n">
        <x:v>2871.861</x:v>
      </x:c>
      <x:c r="F7" s="48" t="n">
        <x:v>-202.632</x:v>
      </x:c>
      <x:c r="G7" s="49" t="n">
        <x:f>F7/D7</x:f>
        <x:v>-0.07591405608136283</x:v>
      </x:c>
      <x:c r="H7" s="48" t="n">
        <x:v>0</x:v>
      </x:c>
      <x:c r="I7" s="48" t="n">
        <x:v>1130.139</x:v>
      </x:c>
      <x:c r="J7" s="48" t="n">
        <x:v>0</x:v>
      </x:c>
      <x:c r="K7" s="48" t="n">
        <x:v>1055.48</x:v>
      </x:c>
      <x:c r="L7" s="48" t="n">
        <x:v>877.161</x:v>
      </x:c>
      <x:c r="M7" s="49" t="n">
        <x:f>L7/D7</x:f>
        <x:v>0.32861961262971445</x:v>
      </x:c>
      <x:c r="N7" s="48" t="n">
        <x:v>-35.909</x:v>
      </x:c>
      <x:c r="O7" s="48" t="n">
        <x:v>185.975</x:v>
      </x:c>
      <x:c r="P7" s="48" t="n">
        <x:v>220.386</x:v>
      </x:c>
      <x:c r="Q7" s="48" t="n">
        <x:v>1540.489</x:v>
      </x:c>
      <x:c r="R7" s="49" t="n">
        <x:f>Q7/E7</x:f>
        <x:v>0.536407925035369</x:v>
      </x:c>
      <x:c r="S7" s="48" t="n">
        <x:v>157.578</x:v>
      </x:c>
      <x:c r="T7" s="48" t="n">
        <x:v>74.899</x:v>
      </x:c>
      <x:c r="U7" s="48" t="n">
        <x:v>0</x:v>
      </x:c>
      <x:c r="V7" s="48" t="n">
        <x:v>1045.035</x:v>
      </x:c>
    </x:row>
    <x:row r="8">
      <x:c r="A8" s="16" t="n">
        <x:v>22</x:v>
      </x:c>
      <x:c r="B8" s="16" t="str">
        <x:v>The University of Melbourne</x:v>
      </x:c>
      <x:c r="C8" s="16" t="n">
        <x:v>2023</x:v>
      </x:c>
      <x:c r="D8" s="48" t="n">
        <x:v>3249.623</x:v>
      </x:c>
      <x:c r="E8" s="48" t="n">
        <x:v>3093.323</x:v>
      </x:c>
      <x:c r="F8" s="48" t="n">
        <x:v>156.3</x:v>
      </x:c>
      <x:c r="G8" s="49" t="n">
        <x:f>F8/D8</x:f>
        <x:v>0.04809788704720517</x:v>
      </x:c>
      <x:c r="H8" s="48" t="n">
        <x:v>36.476</x:v>
      </x:c>
      <x:c r="I8" s="48" t="n">
        <x:v>1165.78</x:v>
      </x:c>
      <x:c r="J8" s="48" t="n">
        <x:v>57.752</x:v>
      </x:c>
      <x:c r="K8" s="48" t="n">
        <x:v>1164.086</x:v>
      </x:c>
      <x:c r="L8" s="48" t="n">
        <x:v>993.42</x:v>
      </x:c>
      <x:c r="M8" s="49" t="n">
        <x:f>L8/D8</x:f>
        <x:v>0.30570315387354163</x:v>
      </x:c>
      <x:c r="N8" s="48" t="n">
        <x:v>413.798</x:v>
      </x:c>
      <x:c r="O8" s="48" t="n">
        <x:v>200.141</x:v>
      </x:c>
      <x:c r="P8" s="48" t="n">
        <x:v>208.145</x:v>
      </x:c>
      <x:c r="Q8" s="48" t="n">
        <x:v>1713.173</x:v>
      </x:c>
      <x:c r="R8" s="49" t="n">
        <x:f>Q8/E8</x:f>
        <x:v>0.5538293285246966</x:v>
      </x:c>
      <x:c r="S8" s="48" t="n">
        <x:v>158.426</x:v>
      </x:c>
      <x:c r="T8" s="48" t="n">
        <x:v>68.942</x:v>
      </x:c>
      <x:c r="U8" s="48" t="n">
        <x:v>77.984</x:v>
      </x:c>
      <x:c r="V8" s="48" t="n">
        <x:v>1069.286</x:v>
      </x:c>
    </x:row>
    <x:row r="9">
      <x:c r="A9" s="16" t="n">
        <x:v>22</x:v>
      </x:c>
      <x:c r="B9" s="16" t="str">
        <x:v>The University of Melbourne</x:v>
      </x:c>
      <x:c r="C9" s="16" t="n">
        <x:v>2024</x:v>
      </x:c>
      <x:c r="D9" s="48" t="n">
        <x:v>3699.756</x:v>
      </x:c>
      <x:c r="E9" s="48" t="n">
        <x:v>3427.052</x:v>
      </x:c>
      <x:c r="F9" s="48" t="n">
        <x:v>272.704</x:v>
      </x:c>
      <x:c r="G9" s="49" t="n">
        <x:f>F9/D9</x:f>
        <x:v>0.07370864457007435</x:v>
      </x:c>
      <x:c r="H9" s="48" t="n">
        <x:v>39.754</x:v>
      </x:c>
      <x:c r="I9" s="48" t="n">
        <x:v>1245.405</x:v>
      </x:c>
      <x:c r="J9" s="48" t="n">
        <x:v>51.081</x:v>
      </x:c>
      <x:c r="K9" s="48" t="n">
        <x:v>1361.529</x:v>
      </x:c>
      <x:c r="L9" s="48" t="n">
        <x:v>1175.8</x:v>
      </x:c>
      <x:c r="M9" s="49" t="n">
        <x:f>L9/D9</x:f>
        <x:v>0.31780474171810247</x:v>
      </x:c>
      <x:c r="N9" s="48" t="n">
        <x:v>476.582</x:v>
      </x:c>
      <x:c r="O9" s="48" t="n">
        <x:v>183.924</x:v>
      </x:c>
      <x:c r="P9" s="48" t="n">
        <x:v>339.377</x:v>
      </x:c>
      <x:c r="Q9" s="48" t="n">
        <x:v>1939.395</x:v>
      </x:c>
      <x:c r="R9" s="49" t="n">
        <x:f>Q9/E9</x:f>
        <x:v>0.5659076664141659</x:v>
      </x:c>
      <x:c r="S9" s="48" t="n">
        <x:v>168.14</x:v>
      </x:c>
      <x:c r="T9" s="48" t="n">
        <x:v>69.954</x:v>
      </x:c>
      <x:c r="U9" s="48" t="n">
        <x:v>78.322</x:v>
      </x:c>
      <x:c r="V9" s="48" t="n">
        <x:v>1147.099</x:v>
      </x:c>
    </x:row>
    <x:row r="10">
      <x:c r="A10" s="16" t="n">
        <x:v>28</x:v>
      </x:c>
      <x:c r="B10" s="16" t="str">
        <x:v>The University of Sydney</x:v>
      </x:c>
      <x:c r="C10" s="16" t="n">
        <x:v>2022</x:v>
      </x:c>
      <x:c r="D10" s="48" t="n">
        <x:v>2995.21</x:v>
      </x:c>
      <x:c r="E10" s="48" t="n">
        <x:v>2696.713</x:v>
      </x:c>
      <x:c r="F10" s="48" t="n">
        <x:v>298.497</x:v>
      </x:c>
      <x:c r="G10" s="49" t="n">
        <x:f>F10/D10</x:f>
        <x:v>0.09965812079954327</x:v>
      </x:c>
      <x:c r="H10" s="48" t="n">
        <x:v>0</x:v>
      </x:c>
      <x:c r="I10" s="48" t="n">
        <x:v>1020.357</x:v>
      </x:c>
      <x:c r="J10" s="48" t="n">
        <x:v>0</x:v>
      </x:c>
      <x:c r="K10" s="48" t="n">
        <x:v>1543.087</x:v>
      </x:c>
      <x:c r="L10" s="48" t="n">
        <x:v>1402.615</x:v>
      </x:c>
      <x:c r="M10" s="49" t="n">
        <x:f>L10/D10</x:f>
        <x:v>0.4682860300279446</x:v>
      </x:c>
      <x:c r="N10" s="48" t="n">
        <x:v>27.925</x:v>
      </x:c>
      <x:c r="O10" s="48" t="n">
        <x:v>165.829</x:v>
      </x:c>
      <x:c r="P10" s="48" t="n">
        <x:v>151.101</x:v>
      </x:c>
      <x:c r="Q10" s="48" t="n">
        <x:v>1533.997</x:v>
      </x:c>
      <x:c r="R10" s="49" t="n">
        <x:f>Q10/E10</x:f>
        <x:v>0.5688395465145901</x:v>
      </x:c>
      <x:c r="S10" s="48" t="n">
        <x:v>205.379</x:v>
      </x:c>
      <x:c r="T10" s="48" t="n">
        <x:v>67.403</x:v>
      </x:c>
      <x:c r="U10" s="48" t="n">
        <x:v>0</x:v>
      </x:c>
      <x:c r="V10" s="48" t="n">
        <x:v>855.249</x:v>
      </x:c>
    </x:row>
    <x:row r="11">
      <x:c r="A11" s="16" t="n">
        <x:v>28</x:v>
      </x:c>
      <x:c r="B11" s="16" t="str">
        <x:v>The University of Sydney</x:v>
      </x:c>
      <x:c r="C11" s="16" t="n">
        <x:v>2023</x:v>
      </x:c>
      <x:c r="D11" s="48" t="n">
        <x:v>3418.499</x:v>
      </x:c>
      <x:c r="E11" s="48" t="n">
        <x:v>3066.73</x:v>
      </x:c>
      <x:c r="F11" s="48" t="n">
        <x:v>351.769</x:v>
      </x:c>
      <x:c r="G11" s="49" t="n">
        <x:f>F11/D11</x:f>
        <x:v>0.10290159511528306</x:v>
      </x:c>
      <x:c r="H11" s="48" t="n">
        <x:v>41.413</x:v>
      </x:c>
      <x:c r="I11" s="48" t="n">
        <x:v>1039.276</x:v>
      </x:c>
      <x:c r="J11" s="48" t="n">
        <x:v>50.469</x:v>
      </x:c>
      <x:c r="K11" s="48" t="n">
        <x:v>1612.457</x:v>
      </x:c>
      <x:c r="L11" s="48" t="n">
        <x:v>1456.746</x:v>
      </x:c>
      <x:c r="M11" s="49" t="n">
        <x:f>L11/D11</x:f>
        <x:v>0.4261361492280677</x:v>
      </x:c>
      <x:c r="N11" s="48" t="n">
        <x:v>304.029</x:v>
      </x:c>
      <x:c r="O11" s="48" t="n">
        <x:v>197.326</x:v>
      </x:c>
      <x:c r="P11" s="48" t="n">
        <x:v>170.518</x:v>
      </x:c>
      <x:c r="Q11" s="48" t="n">
        <x:v>1786.614</x:v>
      </x:c>
      <x:c r="R11" s="49" t="n">
        <x:f>Q11/E11</x:f>
        <x:v>0.5825794902061805</x:v>
      </x:c>
      <x:c r="S11" s="48" t="n">
        <x:v>218.544</x:v>
      </x:c>
      <x:c r="T11" s="48" t="n">
        <x:v>116.997</x:v>
      </x:c>
      <x:c r="U11" s="48" t="n">
        <x:v>23.368</x:v>
      </x:c>
      <x:c r="V11" s="48" t="n">
        <x:v>918.431</x:v>
      </x:c>
    </x:row>
    <x:row r="12">
      <x:c r="A12" s="16" t="n">
        <x:v>28</x:v>
      </x:c>
      <x:c r="B12" s="16" t="str">
        <x:v>The University of Sydney</x:v>
      </x:c>
      <x:c r="C12" s="16" t="n">
        <x:v>2024</x:v>
      </x:c>
      <x:c r="D12" s="48" t="n">
        <x:v>3885.303</x:v>
      </x:c>
      <x:c r="E12" s="48" t="n">
        <x:v>3340.031</x:v>
      </x:c>
      <x:c r="F12" s="48" t="n">
        <x:v>545.272</x:v>
      </x:c>
      <x:c r="G12" s="49" t="n">
        <x:f>F12/D12</x:f>
        <x:v>0.1403422075446883</x:v>
      </x:c>
      <x:c r="H12" s="48" t="n">
        <x:v>50.836</x:v>
      </x:c>
      <x:c r="I12" s="48" t="n">
        <x:v>1103.101</x:v>
      </x:c>
      <x:c r="J12" s="48" t="n">
        <x:v>58.967</x:v>
      </x:c>
      <x:c r="K12" s="48" t="n">
        <x:v>1776.013</x:v>
      </x:c>
      <x:c r="L12" s="48" t="n">
        <x:v>1603.048</x:v>
      </x:c>
      <x:c r="M12" s="49" t="n">
        <x:f>L12/D12</x:f>
        <x:v>0.4125927887734882</x:v>
      </x:c>
      <x:c r="N12" s="48" t="n">
        <x:v>518.339</x:v>
      </x:c>
      <x:c r="O12" s="48" t="n">
        <x:v>169.801</x:v>
      </x:c>
      <x:c r="P12" s="48" t="n">
        <x:v>203.974</x:v>
      </x:c>
      <x:c r="Q12" s="48" t="n">
        <x:v>1946.33</x:v>
      </x:c>
      <x:c r="R12" s="49" t="n">
        <x:f>Q12/E12</x:f>
        <x:v>0.5827281243796839</x:v>
      </x:c>
      <x:c r="S12" s="48" t="n">
        <x:v>196.733</x:v>
      </x:c>
      <x:c r="T12" s="48" t="n">
        <x:v>168.811</x:v>
      </x:c>
      <x:c r="U12" s="48" t="n">
        <x:v>23.99</x:v>
      </x:c>
      <x:c r="V12" s="48" t="n">
        <x:v>990.784</x:v>
      </x:c>
    </x:row>
    <x:row r="13">
      <x:c r="A13" s="16" t="n">
        <x:v>29</x:v>
      </x:c>
      <x:c r="B13" s="16" t="str">
        <x:v>Australian National University (ANU)</x:v>
      </x:c>
      <x:c r="C13" s="16" t="n">
        <x:v>2022</x:v>
      </x:c>
      <x:c r="D13" s="48" t="n">
        <x:v>1192.019</x:v>
      </x:c>
      <x:c r="E13" s="48" t="n">
        <x:v>1331.587</x:v>
      </x:c>
      <x:c r="F13" s="48" t="n">
        <x:v>-139.568</x:v>
      </x:c>
      <x:c r="G13" s="49" t="n">
        <x:f>F13/D13</x:f>
        <x:v>-0.11708538202830661</x:v>
      </x:c>
      <x:c r="H13" s="48" t="n">
        <x:v>0</x:v>
      </x:c>
      <x:c r="I13" s="48" t="n">
        <x:v>698.665</x:v>
      </x:c>
      <x:c r="J13" s="48" t="n">
        <x:v>0</x:v>
      </x:c>
      <x:c r="K13" s="48" t="n">
        <x:v>287.197</x:v>
      </x:c>
      <x:c r="L13" s="48" t="n">
        <x:v>244.633</x:v>
      </x:c>
      <x:c r="M13" s="49" t="n">
        <x:f>L13/D13</x:f>
        <x:v>0.2052257556297341</x:v>
      </x:c>
      <x:c r="N13" s="48" t="n">
        <x:v>-43.91</x:v>
      </x:c>
      <x:c r="O13" s="48" t="n">
        <x:v>115.217</x:v>
      </x:c>
      <x:c r="P13" s="48" t="n">
        <x:v>117.057</x:v>
      </x:c>
      <x:c r="Q13" s="48" t="n">
        <x:v>692.785</x:v>
      </x:c>
      <x:c r="R13" s="49" t="n">
        <x:f>Q13/E13</x:f>
        <x:v>0.5202701738602133</x:v>
      </x:c>
      <x:c r="S13" s="48" t="n">
        <x:v>112.649</x:v>
      </x:c>
      <x:c r="T13" s="48" t="n">
        <x:v>33.23</x:v>
      </x:c>
      <x:c r="U13" s="48" t="n">
        <x:v>0</x:v>
      </x:c>
      <x:c r="V13" s="48" t="n">
        <x:v>465.34</x:v>
      </x:c>
    </x:row>
    <x:row r="14">
      <x:c r="A14" s="16" t="n">
        <x:v>29</x:v>
      </x:c>
      <x:c r="B14" s="16" t="str">
        <x:v>Australian National University (ANU)</x:v>
      </x:c>
      <x:c r="C14" s="16" t="n">
        <x:v>2023</x:v>
      </x:c>
      <x:c r="D14" s="48" t="n">
        <x:v>1595.377</x:v>
      </x:c>
      <x:c r="E14" s="48" t="n">
        <x:v>1448.782</x:v>
      </x:c>
      <x:c r="F14" s="48" t="n">
        <x:v>146.595</x:v>
      </x:c>
      <x:c r="G14" s="49" t="n">
        <x:f>F14/D14</x:f>
        <x:v>0.0918873720756912</x:v>
      </x:c>
      <x:c r="H14" s="48" t="n">
        <x:v>12.042</x:v>
      </x:c>
      <x:c r="I14" s="48" t="n">
        <x:v>735.055</x:v>
      </x:c>
      <x:c r="J14" s="48" t="n">
        <x:v>5.74</x:v>
      </x:c>
      <x:c r="K14" s="48" t="n">
        <x:v>329.55</x:v>
      </x:c>
      <x:c r="L14" s="48" t="n">
        <x:v>282.022</x:v>
      </x:c>
      <x:c r="M14" s="49" t="n">
        <x:f>L14/D14</x:f>
        <x:v>0.17677451787257809</x:v>
      </x:c>
      <x:c r="N14" s="48" t="n">
        <x:v>175.003</x:v>
      </x:c>
      <x:c r="O14" s="48" t="n">
        <x:v>128.033</x:v>
      </x:c>
      <x:c r="P14" s="48" t="n">
        <x:v>209.518</x:v>
      </x:c>
      <x:c r="Q14" s="48" t="n">
        <x:v>769.848</x:v>
      </x:c>
      <x:c r="R14" s="49" t="n">
        <x:f>Q14/E14</x:f>
        <x:v>0.531376011021672</x:v>
      </x:c>
      <x:c r="S14" s="48" t="n">
        <x:v>134.618</x:v>
      </x:c>
      <x:c r="T14" s="48" t="n">
        <x:v>40.632</x:v>
      </x:c>
      <x:c r="U14" s="48" t="n">
        <x:v>13.745</x:v>
      </x:c>
      <x:c r="V14" s="48" t="n">
        <x:v>465.683</x:v>
      </x:c>
    </x:row>
    <x:row r="15">
      <x:c r="A15" s="16" t="n">
        <x:v>29</x:v>
      </x:c>
      <x:c r="B15" s="16" t="str">
        <x:v>Australian National University (ANU)</x:v>
      </x:c>
      <x:c r="C15" s="16" t="n">
        <x:v>2024</x:v>
      </x:c>
      <x:c r="D15" s="48" t="n">
        <x:v>1598.813</x:v>
      </x:c>
      <x:c r="E15" s="48" t="n">
        <x:v>1511.696</x:v>
      </x:c>
      <x:c r="F15" s="48" t="n">
        <x:v>87.117</x:v>
      </x:c>
      <x:c r="G15" s="49" t="n">
        <x:f>F15/D15</x:f>
        <x:v>0.05448854869206092</x:v>
      </x:c>
      <x:c r="H15" s="48" t="n">
        <x:v>12.004</x:v>
      </x:c>
      <x:c r="I15" s="48" t="n">
        <x:v>776.171</x:v>
      </x:c>
      <x:c r="J15" s="48" t="n">
        <x:v>1.672</x:v>
      </x:c>
      <x:c r="K15" s="48" t="n">
        <x:v>345.099</x:v>
      </x:c>
      <x:c r="L15" s="48" t="n">
        <x:v>296.278</x:v>
      </x:c>
      <x:c r="M15" s="49" t="n">
        <x:f>L15/D15</x:f>
        <x:v>0.1853112277670997</x:v>
      </x:c>
      <x:c r="N15" s="48" t="n">
        <x:v>215.01</x:v>
      </x:c>
      <x:c r="O15" s="48" t="n">
        <x:v>102.577</x:v>
      </x:c>
      <x:c r="P15" s="48" t="n">
        <x:v>146.262</x:v>
      </x:c>
      <x:c r="Q15" s="48" t="n">
        <x:v>837.172</x:v>
      </x:c>
      <x:c r="R15" s="49" t="n">
        <x:f>Q15/E15</x:f>
        <x:v>0.5537965305193637</x:v>
      </x:c>
      <x:c r="S15" s="48" t="n">
        <x:v>137.226</x:v>
      </x:c>
      <x:c r="T15" s="48" t="n">
        <x:v>46.426</x:v>
      </x:c>
      <x:c r="U15" s="48" t="n">
        <x:v>11.904</x:v>
      </x:c>
      <x:c r="V15" s="48" t="n">
        <x:v>457.06</x:v>
      </x:c>
    </x:row>
    <x:row r="16">
      <x:c r="A16" s="16" t="n">
        <x:v>31</x:v>
      </x:c>
      <x:c r="B16" s="16" t="str">
        <x:v>Monash University</x:v>
      </x:c>
      <x:c r="C16" s="16" t="n">
        <x:v>2022</x:v>
      </x:c>
      <x:c r="D16" s="48" t="n">
        <x:v>2738.315</x:v>
      </x:c>
      <x:c r="E16" s="48" t="n">
        <x:v>2851.908</x:v>
      </x:c>
      <x:c r="F16" s="48" t="n">
        <x:v>-113.593</x:v>
      </x:c>
      <x:c r="G16" s="49" t="n">
        <x:f>F16/D16</x:f>
        <x:v>-0.041482809684057535</x:v>
      </x:c>
      <x:c r="H16" s="48" t="n">
        <x:v>0</x:v>
      </x:c>
      <x:c r="I16" s="48" t="n">
        <x:v>1195.132</x:v>
      </x:c>
      <x:c r="J16" s="48" t="n">
        <x:v>0</x:v>
      </x:c>
      <x:c r="K16" s="48" t="n">
        <x:v>964.064</x:v>
      </x:c>
      <x:c r="L16" s="48" t="n">
        <x:v>860.85</x:v>
      </x:c>
      <x:c r="M16" s="49" t="n">
        <x:f>L16/D16</x:f>
        <x:v>0.31437215952145753</x:v>
      </x:c>
      <x:c r="N16" s="48" t="n">
        <x:v>13.266</x:v>
      </x:c>
      <x:c r="O16" s="48" t="n">
        <x:v>142.033</x:v>
      </x:c>
      <x:c r="P16" s="48" t="n">
        <x:v>284.523</x:v>
      </x:c>
      <x:c r="Q16" s="48" t="n">
        <x:v>1355.813</x:v>
      </x:c>
      <x:c r="R16" s="49" t="n">
        <x:f>Q16/E16</x:f>
        <x:v>0.4754055881185509</x:v>
      </x:c>
      <x:c r="S16" s="48" t="n">
        <x:v>207.26</x:v>
      </x:c>
      <x:c r="T16" s="48" t="n">
        <x:v>47.195</x:v>
      </x:c>
      <x:c r="U16" s="48" t="n">
        <x:v>0</x:v>
      </x:c>
      <x:c r="V16" s="48" t="n">
        <x:v>1180.817</x:v>
      </x:c>
    </x:row>
    <x:row r="17">
      <x:c r="A17" s="16" t="n">
        <x:v>31</x:v>
      </x:c>
      <x:c r="B17" s="16" t="str">
        <x:v>Monash University</x:v>
      </x:c>
      <x:c r="C17" s="16" t="n">
        <x:v>2023</x:v>
      </x:c>
      <x:c r="D17" s="48" t="n">
        <x:v>3012.72</x:v>
      </x:c>
      <x:c r="E17" s="48" t="n">
        <x:v>3021.751</x:v>
      </x:c>
      <x:c r="F17" s="48" t="n">
        <x:v>-9.031</x:v>
      </x:c>
      <x:c r="G17" s="49" t="n">
        <x:f>F17/D17</x:f>
        <x:v>-0.0029976234100746175</x:v>
      </x:c>
      <x:c r="H17" s="48" t="n">
        <x:v>27.756</x:v>
      </x:c>
      <x:c r="I17" s="48" t="n">
        <x:v>1285.003</x:v>
      </x:c>
      <x:c r="J17" s="48" t="n">
        <x:v>59.005</x:v>
      </x:c>
      <x:c r="K17" s="48" t="n">
        <x:v>1025.118</x:v>
      </x:c>
      <x:c r="L17" s="48" t="n">
        <x:v>904.652</x:v>
      </x:c>
      <x:c r="M17" s="49" t="n">
        <x:f>L17/D17</x:f>
        <x:v>0.3002774901086062</x:v>
      </x:c>
      <x:c r="N17" s="48" t="n">
        <x:v>173.448</x:v>
      </x:c>
      <x:c r="O17" s="48" t="n">
        <x:v>156.054</x:v>
      </x:c>
      <x:c r="P17" s="48" t="n">
        <x:v>262.614</x:v>
      </x:c>
      <x:c r="Q17" s="48" t="n">
        <x:v>1543.197</x:v>
      </x:c>
      <x:c r="R17" s="49" t="n">
        <x:f>Q17/E17</x:f>
        <x:v>0.5106962817253969</x:v>
      </x:c>
      <x:c r="S17" s="48" t="n">
        <x:v>211.744</x:v>
      </x:c>
      <x:c r="T17" s="48" t="n">
        <x:v>46.215</x:v>
      </x:c>
      <x:c r="U17" s="48" t="n">
        <x:v>53.336</x:v>
      </x:c>
      <x:c r="V17" s="48" t="n">
        <x:v>1167.824</x:v>
      </x:c>
    </x:row>
    <x:row r="18">
      <x:c r="A18" s="16" t="n">
        <x:v>31</x:v>
      </x:c>
      <x:c r="B18" s="16" t="str">
        <x:v>Monash University</x:v>
      </x:c>
      <x:c r="C18" s="16" t="n">
        <x:v>2024</x:v>
      </x:c>
      <x:c r="D18" s="48" t="n">
        <x:v>3458.994</x:v>
      </x:c>
      <x:c r="E18" s="48" t="n">
        <x:v>3278.2</x:v>
      </x:c>
      <x:c r="F18" s="48" t="n">
        <x:v>180.794</x:v>
      </x:c>
      <x:c r="G18" s="49" t="n">
        <x:f>F18/D18</x:f>
        <x:v>0.052267798093896665</x:v>
      </x:c>
      <x:c r="H18" s="48" t="n">
        <x:v>37.553</x:v>
      </x:c>
      <x:c r="I18" s="48" t="n">
        <x:v>1422.625</x:v>
      </x:c>
      <x:c r="J18" s="48" t="n">
        <x:v>54.701</x:v>
      </x:c>
      <x:c r="K18" s="48" t="n">
        <x:v>1287.085</x:v>
      </x:c>
      <x:c r="L18" s="48" t="n">
        <x:v>1136.18</x:v>
      </x:c>
      <x:c r="M18" s="49" t="n">
        <x:f>L18/D18</x:f>
        <x:v>0.32847122602698936</x:v>
      </x:c>
      <x:c r="N18" s="48" t="n">
        <x:v>153.318</x:v>
      </x:c>
      <x:c r="O18" s="48" t="n">
        <x:v>167.63</x:v>
      </x:c>
      <x:c r="P18" s="48" t="n">
        <x:v>305.937</x:v>
      </x:c>
      <x:c r="Q18" s="48" t="n">
        <x:v>1600.363</x:v>
      </x:c>
      <x:c r="R18" s="49" t="n">
        <x:f>Q18/E18</x:f>
        <x:v>0.4881834543346959</x:v>
      </x:c>
      <x:c r="S18" s="48" t="n">
        <x:v>205.287</x:v>
      </x:c>
      <x:c r="T18" s="48" t="n">
        <x:v>59.482</x:v>
      </x:c>
      <x:c r="U18" s="48" t="n">
        <x:v>51.976</x:v>
      </x:c>
      <x:c r="V18" s="48" t="n">
        <x:v>1337.044</x:v>
      </x:c>
    </x:row>
    <x:row r="19">
      <x:c r="A19" s="16" t="n">
        <x:v>40</x:v>
      </x:c>
      <x:c r="B19" s="16" t="str">
        <x:v>The University of Queensland</x:v>
      </x:c>
      <x:c r="C19" s="16" t="n">
        <x:v>2022</x:v>
      </x:c>
      <x:c r="D19" s="48" t="n">
        <x:v>1876.513</x:v>
      </x:c>
      <x:c r="E19" s="48" t="n">
        <x:v>2195.102</x:v>
      </x:c>
      <x:c r="F19" s="48" t="n">
        <x:v>-318.589</x:v>
      </x:c>
      <x:c r="G19" s="49" t="n">
        <x:f>F19/D19</x:f>
        <x:v>-0.16977713450426404</x:v>
      </x:c>
      <x:c r="H19" s="48" t="n">
        <x:v>0</x:v>
      </x:c>
      <x:c r="I19" s="48" t="n">
        <x:v>997.22</x:v>
      </x:c>
      <x:c r="J19" s="48" t="n">
        <x:v>0</x:v>
      </x:c>
      <x:c r="K19" s="48" t="n">
        <x:v>699.477</x:v>
      </x:c>
      <x:c r="L19" s="48" t="n">
        <x:v>631.538</x:v>
      </x:c>
      <x:c r="M19" s="49" t="n">
        <x:f>L19/D19</x:f>
        <x:v>0.3365486943069406</x:v>
      </x:c>
      <x:c r="N19" s="48" t="n">
        <x:v>-204.813</x:v>
      </x:c>
      <x:c r="O19" s="48" t="n">
        <x:v>195.572</x:v>
      </x:c>
      <x:c r="P19" s="48" t="n">
        <x:v>121.165</x:v>
      </x:c>
      <x:c r="Q19" s="48" t="n">
        <x:v>1209.547</x:v>
      </x:c>
      <x:c r="R19" s="49" t="n">
        <x:f>Q19/E19</x:f>
        <x:v>0.5510208637229614</x:v>
      </x:c>
      <x:c r="S19" s="48" t="n">
        <x:v>186.277</x:v>
      </x:c>
      <x:c r="T19" s="48" t="n">
        <x:v>82.301</x:v>
      </x:c>
      <x:c r="U19" s="48" t="n">
        <x:v>0</x:v>
      </x:c>
      <x:c r="V19" s="48" t="n">
        <x:v>697.137</x:v>
      </x:c>
    </x:row>
    <x:row r="20">
      <x:c r="A20" s="16" t="n">
        <x:v>40</x:v>
      </x:c>
      <x:c r="B20" s="16" t="str">
        <x:v>The University of Queensland</x:v>
      </x:c>
      <x:c r="C20" s="16" t="n">
        <x:v>2023</x:v>
      </x:c>
      <x:c r="D20" s="48" t="n">
        <x:v>2467.913</x:v>
      </x:c>
      <x:c r="E20" s="48" t="n">
        <x:v>2350.239</x:v>
      </x:c>
      <x:c r="F20" s="48" t="n">
        <x:v>117.674</x:v>
      </x:c>
      <x:c r="G20" s="49" t="n">
        <x:f>F20/D20</x:f>
        <x:v>0.047681583589048726</x:v>
      </x:c>
      <x:c r="H20" s="48" t="n">
        <x:v>24.427</x:v>
      </x:c>
      <x:c r="I20" s="48" t="n">
        <x:v>1000.069</x:v>
      </x:c>
      <x:c r="J20" s="48" t="n">
        <x:v>39.032</x:v>
      </x:c>
      <x:c r="K20" s="48" t="n">
        <x:v>761.719</x:v>
      </x:c>
      <x:c r="L20" s="48" t="n">
        <x:v>689.018</x:v>
      </x:c>
      <x:c r="M20" s="49" t="n">
        <x:f>L20/D20</x:f>
        <x:v>0.279190554934473</x:v>
      </x:c>
      <x:c r="N20" s="48" t="n">
        <x:v>263.293</x:v>
      </x:c>
      <x:c r="O20" s="48" t="n">
        <x:v>234.898</x:v>
      </x:c>
      <x:c r="P20" s="48" t="n">
        <x:v>126.311</x:v>
      </x:c>
      <x:c r="Q20" s="48" t="n">
        <x:v>1287.527</x:v>
      </x:c>
      <x:c r="R20" s="49" t="n">
        <x:f>Q20/E20</x:f>
        <x:v>0.5478281145023974</x:v>
      </x:c>
      <x:c r="S20" s="48" t="n">
        <x:v>184.789</x:v>
      </x:c>
      <x:c r="T20" s="48" t="n">
        <x:v>114.621</x:v>
      </x:c>
      <x:c r="U20" s="48" t="n">
        <x:v>18.865</x:v>
      </x:c>
      <x:c r="V20" s="48" t="n">
        <x:v>722.066</x:v>
      </x:c>
    </x:row>
    <x:row r="21">
      <x:c r="A21" s="16" t="n">
        <x:v>40</x:v>
      </x:c>
      <x:c r="B21" s="16" t="str">
        <x:v>The University of Queensland</x:v>
      </x:c>
      <x:c r="C21" s="16" t="n">
        <x:v>2024</x:v>
      </x:c>
      <x:c r="D21" s="48" t="n">
        <x:v>2698.135</x:v>
      </x:c>
      <x:c r="E21" s="48" t="n">
        <x:v>2418.588</x:v>
      </x:c>
      <x:c r="F21" s="48" t="n">
        <x:v>279.547</x:v>
      </x:c>
      <x:c r="G21" s="49" t="n">
        <x:f>F21/D21</x:f>
        <x:v>0.10360749184158688</x:v>
      </x:c>
      <x:c r="H21" s="48" t="n">
        <x:v>31.014</x:v>
      </x:c>
      <x:c r="I21" s="48" t="n">
        <x:v>1076.07</x:v>
      </x:c>
      <x:c r="J21" s="48" t="n">
        <x:v>43.664</x:v>
      </x:c>
      <x:c r="K21" s="48" t="n">
        <x:v>854.922</x:v>
      </x:c>
      <x:c r="L21" s="48" t="n">
        <x:v>774.077</x:v>
      </x:c>
      <x:c r="M21" s="49" t="n">
        <x:f>L21/D21</x:f>
        <x:v>0.28689335411311884</x:v>
      </x:c>
      <x:c r="N21" s="48" t="n">
        <x:v>300.51</x:v>
      </x:c>
      <x:c r="O21" s="48" t="n">
        <x:v>245.426</x:v>
      </x:c>
      <x:c r="P21" s="48" t="n">
        <x:v>127.931</x:v>
      </x:c>
      <x:c r="Q21" s="48" t="n">
        <x:v>1341.684</x:v>
      </x:c>
      <x:c r="R21" s="49" t="n">
        <x:f>Q21/E21</x:f>
        <x:v>0.554738549930786</x:v>
      </x:c>
      <x:c r="S21" s="48" t="n">
        <x:v>192.518</x:v>
      </x:c>
      <x:c r="T21" s="48" t="n">
        <x:v>105.756</x:v>
      </x:c>
      <x:c r="U21" s="48" t="n">
        <x:v>19.078</x:v>
      </x:c>
      <x:c r="V21" s="48" t="n">
        <x:v>755.753</x:v>
      </x:c>
    </x:row>
    <x:row r="22">
      <x:c r="A22" s="16" t="n">
        <x:v>77</x:v>
      </x:c>
      <x:c r="B22" s="16" t="str">
        <x:v>The University of Western Australia</x:v>
      </x:c>
      <x:c r="C22" s="16" t="n">
        <x:v>2022</x:v>
      </x:c>
      <x:c r="D22" s="48" t="n">
        <x:v>940.335</x:v>
      </x:c>
      <x:c r="E22" s="48" t="n">
        <x:v>920.976</x:v>
      </x:c>
      <x:c r="F22" s="48" t="n">
        <x:v>19.359</x:v>
      </x:c>
      <x:c r="G22" s="49" t="n">
        <x:f>F22/D22</x:f>
        <x:v>0.020587343872130678</x:v>
      </x:c>
      <x:c r="H22" s="48" t="n">
        <x:v>0</x:v>
      </x:c>
      <x:c r="I22" s="48" t="n">
        <x:v>515.843</x:v>
      </x:c>
      <x:c r="J22" s="48" t="n">
        <x:v>0</x:v>
      </x:c>
      <x:c r="K22" s="48" t="n">
        <x:v>178.566</x:v>
      </x:c>
      <x:c r="L22" s="48" t="n">
        <x:v>136.846</x:v>
      </x:c>
      <x:c r="M22" s="49" t="n">
        <x:f>L22/D22</x:f>
        <x:v>0.14552898700994857</x:v>
      </x:c>
      <x:c r="N22" s="48" t="n">
        <x:v>-31.284</x:v>
      </x:c>
      <x:c r="O22" s="48" t="n">
        <x:v>91.455</x:v>
      </x:c>
      <x:c r="P22" s="48" t="n">
        <x:v>110.752</x:v>
      </x:c>
      <x:c r="Q22" s="48" t="n">
        <x:v>522.289</x:v>
      </x:c>
      <x:c r="R22" s="49" t="n">
        <x:f>Q22/E22</x:f>
        <x:v>0.5671038116085544</x:v>
      </x:c>
      <x:c r="S22" s="48" t="n">
        <x:v>54.729</x:v>
      </x:c>
      <x:c r="T22" s="48" t="n">
        <x:v>24.42</x:v>
      </x:c>
      <x:c r="U22" s="48" t="n">
        <x:v>0</x:v>
      </x:c>
      <x:c r="V22" s="48" t="n">
        <x:v>313.759</x:v>
      </x:c>
    </x:row>
    <x:row r="23">
      <x:c r="A23" s="16" t="n">
        <x:v>77</x:v>
      </x:c>
      <x:c r="B23" s="16" t="str">
        <x:v>The University of Western Australia</x:v>
      </x:c>
      <x:c r="C23" s="16" t="n">
        <x:v>2023</x:v>
      </x:c>
      <x:c r="D23" s="48" t="n">
        <x:v>1086.522</x:v>
      </x:c>
      <x:c r="E23" s="48" t="n">
        <x:v>998.428</x:v>
      </x:c>
      <x:c r="F23" s="48" t="n">
        <x:v>88.094</x:v>
      </x:c>
      <x:c r="G23" s="49" t="n">
        <x:f>F23/D23</x:f>
        <x:v>0.08107889209790506</x:v>
      </x:c>
      <x:c r="H23" s="48" t="n">
        <x:v>15.9</x:v>
      </x:c>
      <x:c r="I23" s="48" t="n">
        <x:v>506.599</x:v>
      </x:c>
      <x:c r="J23" s="48" t="n">
        <x:v>47.596</x:v>
      </x:c>
      <x:c r="K23" s="48" t="n">
        <x:v>222.149</x:v>
      </x:c>
      <x:c r="L23" s="48" t="n">
        <x:v>174.828</x:v>
      </x:c>
      <x:c r="M23" s="49" t="n">
        <x:f>L23/D23</x:f>
        <x:v>0.16090608381606633</x:v>
      </x:c>
      <x:c r="N23" s="48" t="n">
        <x:v>96.645</x:v>
      </x:c>
      <x:c r="O23" s="48" t="n">
        <x:v>89.38</x:v>
      </x:c>
      <x:c r="P23" s="48" t="n">
        <x:v>87.893</x:v>
      </x:c>
      <x:c r="Q23" s="48" t="n">
        <x:v>560.578</x:v>
      </x:c>
      <x:c r="R23" s="49" t="n">
        <x:f>Q23/E23</x:f>
        <x:v>0.5614606160884911</x:v>
      </x:c>
      <x:c r="S23" s="48" t="n">
        <x:v>56.856</x:v>
      </x:c>
      <x:c r="T23" s="48" t="n">
        <x:v>20.701</x:v>
      </x:c>
      <x:c r="U23" s="48" t="n">
        <x:v>6.297</x:v>
      </x:c>
      <x:c r="V23" s="48" t="n">
        <x:v>353.996</x:v>
      </x:c>
    </x:row>
    <x:row r="24">
      <x:c r="A24" s="16" t="n">
        <x:v>77</x:v>
      </x:c>
      <x:c r="B24" s="16" t="str">
        <x:v>The University of Western Australia</x:v>
      </x:c>
      <x:c r="C24" s="16" t="n">
        <x:v>2024</x:v>
      </x:c>
      <x:c r="D24" s="48" t="n">
        <x:v>1288.812</x:v>
      </x:c>
      <x:c r="E24" s="48" t="n">
        <x:v>1091.416</x:v>
      </x:c>
      <x:c r="F24" s="48" t="n">
        <x:v>197.396</x:v>
      </x:c>
      <x:c r="G24" s="49" t="n">
        <x:f>F24/D24</x:f>
        <x:v>0.15316120582365775</x:v>
      </x:c>
      <x:c r="H24" s="48" t="n">
        <x:v>17.988</x:v>
      </x:c>
      <x:c r="I24" s="48" t="n">
        <x:v>553.301</x:v>
      </x:c>
      <x:c r="J24" s="48" t="n">
        <x:v>53.075</x:v>
      </x:c>
      <x:c r="K24" s="48" t="n">
        <x:v>321.412</x:v>
      </x:c>
      <x:c r="L24" s="48" t="n">
        <x:v>266.964</x:v>
      </x:c>
      <x:c r="M24" s="49" t="n">
        <x:f>L24/D24</x:f>
        <x:v>0.20713959832776233</x:v>
      </x:c>
      <x:c r="N24" s="48" t="n">
        <x:v>134.464</x:v>
      </x:c>
      <x:c r="O24" s="48" t="n">
        <x:v>95.808</x:v>
      </x:c>
      <x:c r="P24" s="48" t="n">
        <x:v>91.032</x:v>
      </x:c>
      <x:c r="Q24" s="48" t="n">
        <x:v>595.943</x:v>
      </x:c>
      <x:c r="R24" s="49" t="n">
        <x:f>Q24/E24</x:f>
        <x:v>0.5460273626188364</x:v>
      </x:c>
      <x:c r="S24" s="48" t="n">
        <x:v>56.343</x:v>
      </x:c>
      <x:c r="T24" s="48" t="n">
        <x:v>29.04</x:v>
      </x:c>
      <x:c r="U24" s="48" t="n">
        <x:v>6.36</x:v>
      </x:c>
      <x:c r="V24" s="48" t="n">
        <x:v>403.73</x:v>
      </x:c>
    </x:row>
    <x:row r="25">
      <x:c r="A25" s="16" t="n">
        <x:v>87</x:v>
      </x:c>
      <x:c r="B25" s="16" t="str">
        <x:v>The University of Technology Sydney (UTS)</x:v>
      </x:c>
      <x:c r="C25" s="16" t="n">
        <x:v>2022</x:v>
      </x:c>
      <x:c r="D25" s="48" t="n">
        <x:v>1023.981</x:v>
      </x:c>
      <x:c r="E25" s="48" t="n">
        <x:v>1076.523</x:v>
      </x:c>
      <x:c r="F25" s="48" t="n">
        <x:v>-52.542</x:v>
      </x:c>
      <x:c r="G25" s="49" t="n">
        <x:f>F25/D25</x:f>
        <x:v>-0.05131149894382806</x:v>
      </x:c>
      <x:c r="H25" s="48" t="n">
        <x:v>0</x:v>
      </x:c>
      <x:c r="I25" s="48" t="n">
        <x:v>556.176</x:v>
      </x:c>
      <x:c r="J25" s="48" t="n">
        <x:v>0</x:v>
      </x:c>
      <x:c r="K25" s="48" t="n">
        <x:v>349.892</x:v>
      </x:c>
      <x:c r="L25" s="48" t="n">
        <x:v>315.213</x:v>
      </x:c>
      <x:c r="M25" s="49" t="n">
        <x:f>L25/D25</x:f>
        <x:v>0.3078309070187826</x:v>
      </x:c>
      <x:c r="N25" s="48" t="n">
        <x:v>-5.546</x:v>
      </x:c>
      <x:c r="O25" s="48" t="n">
        <x:v>44.822</x:v>
      </x:c>
      <x:c r="P25" s="48" t="n">
        <x:v>51.478</x:v>
      </x:c>
      <x:c r="Q25" s="48" t="n">
        <x:v>609.23</x:v>
      </x:c>
      <x:c r="R25" s="49" t="n">
        <x:f>Q25/E25</x:f>
        <x:v>0.5659238121247758</x:v>
      </x:c>
      <x:c r="S25" s="48" t="n">
        <x:v>125.542</x:v>
      </x:c>
      <x:c r="T25" s="48" t="n">
        <x:v>16.383</x:v>
      </x:c>
      <x:c r="U25" s="48" t="n">
        <x:v>0</x:v>
      </x:c>
      <x:c r="V25" s="48" t="n">
        <x:v>309.444</x:v>
      </x:c>
    </x:row>
    <x:row r="26">
      <x:c r="A26" s="16" t="n">
        <x:v>87</x:v>
      </x:c>
      <x:c r="B26" s="16" t="str">
        <x:v>The University of Technology Sydney (UTS)</x:v>
      </x:c>
      <x:c r="C26" s="16" t="n">
        <x:v>2023</x:v>
      </x:c>
      <x:c r="D26" s="48" t="n">
        <x:v>1146.489</x:v>
      </x:c>
      <x:c r="E26" s="48" t="n">
        <x:v>1253.514</x:v>
      </x:c>
      <x:c r="F26" s="48" t="n">
        <x:v>-107.025</x:v>
      </x:c>
      <x:c r="G26" s="49" t="n">
        <x:f>F26/D26</x:f>
        <x:v>-0.09335021967066409</x:v>
      </x:c>
      <x:c r="H26" s="48" t="n">
        <x:v>23.353</x:v>
      </x:c>
      <x:c r="I26" s="48" t="n">
        <x:v>589.119</x:v>
      </x:c>
      <x:c r="J26" s="48" t="n">
        <x:v>12.383</x:v>
      </x:c>
      <x:c r="K26" s="48" t="n">
        <x:v>413.124</x:v>
      </x:c>
      <x:c r="L26" s="48" t="n">
        <x:v>362.491</x:v>
      </x:c>
      <x:c r="M26" s="49" t="n">
        <x:f>L26/D26</x:f>
        <x:v>0.3161748608141901</x:v>
      </x:c>
      <x:c r="N26" s="48" t="n">
        <x:v>-1.614</x:v>
      </x:c>
      <x:c r="O26" s="48" t="n">
        <x:v>49.951</x:v>
      </x:c>
      <x:c r="P26" s="48" t="n">
        <x:v>60.094</x:v>
      </x:c>
      <x:c r="Q26" s="48" t="n">
        <x:v>689.638</x:v>
      </x:c>
      <x:c r="R26" s="49" t="n">
        <x:f>Q26/E26</x:f>
        <x:v>0.5501637795828368</x:v>
      </x:c>
      <x:c r="S26" s="48" t="n">
        <x:v>138.589</x:v>
      </x:c>
      <x:c r="T26" s="48" t="n">
        <x:v>17.869</x:v>
      </x:c>
      <x:c r="U26" s="48" t="n">
        <x:v>17.173</x:v>
      </x:c>
      <x:c r="V26" s="48" t="n">
        <x:v>389.284</x:v>
      </x:c>
    </x:row>
    <x:row r="27">
      <x:c r="A27" s="16" t="n">
        <x:v>87</x:v>
      </x:c>
      <x:c r="B27" s="16" t="str">
        <x:v>The University of Technology Sydney (UTS)</x:v>
      </x:c>
      <x:c r="C27" s="16" t="n">
        <x:v>2024</x:v>
      </x:c>
      <x:c r="D27" s="48" t="n">
        <x:v>1314.035</x:v>
      </x:c>
      <x:c r="E27" s="48" t="n">
        <x:v>1394.86</x:v>
      </x:c>
      <x:c r="F27" s="48" t="n">
        <x:v>-80.825</x:v>
      </x:c>
      <x:c r="G27" s="49" t="n">
        <x:f>F27/D27</x:f>
        <x:v>-0.0615090161220972</x:v>
      </x:c>
      <x:c r="H27" s="48" t="n">
        <x:v>30.323</x:v>
      </x:c>
      <x:c r="I27" s="48" t="n">
        <x:v>656.184</x:v>
      </x:c>
      <x:c r="J27" s="48" t="n">
        <x:v>7.933</x:v>
      </x:c>
      <x:c r="K27" s="48" t="n">
        <x:v>490.958</x:v>
      </x:c>
      <x:c r="L27" s="48" t="n">
        <x:v>420.596</x:v>
      </x:c>
      <x:c r="M27" s="49" t="n">
        <x:f>L27/D27</x:f>
        <x:v>0.32007975434444286</x:v>
      </x:c>
      <x:c r="N27" s="48" t="n">
        <x:v>19.314</x:v>
      </x:c>
      <x:c r="O27" s="48" t="n">
        <x:v>59.062</x:v>
      </x:c>
      <x:c r="P27" s="48" t="n">
        <x:v>50.243</x:v>
      </x:c>
      <x:c r="Q27" s="48" t="n">
        <x:v>764.403</x:v>
      </x:c>
      <x:c r="R27" s="49" t="n">
        <x:f>Q27/E27</x:f>
        <x:v>0.5480141376195461</x:v>
      </x:c>
      <x:c r="S27" s="48" t="n">
        <x:v>145.409</x:v>
      </x:c>
      <x:c r="T27" s="48" t="n">
        <x:v>18.474</x:v>
      </x:c>
      <x:c r="U27" s="48" t="n">
        <x:v>20.38</x:v>
      </x:c>
      <x:c r="V27" s="48" t="n">
        <x:v>443.608</x:v>
      </x:c>
    </x:row>
  </x:sheetData>
  <x:mergeCells>
    <x:mergeCell ref="A1:V1"/>
  </x:mergeCells>
  <x:conditionalFormatting sqref="G4:G2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46" hidden="0" customWidth="1"/>
    <x:col min="5" max="5" width="34" hidden="0" customWidth="1"/>
    <x:col min="6" max="6" width="42" hidden="0" customWidth="1"/>
    <x:col min="7" max="7" width="52" hidden="0" customWidth="1"/>
    <x:col min="8" max="8" width="40" hidden="0" customWidth="1"/>
  </x:cols>
  <x:sheetData>
    <x:row r="1" ht="28" customHeight="1">
      <x:c r="A1" s="5" t="str">
        <x:v>Funding &amp; Accounting Archetypes - Interpretation Guide</x:v>
      </x:c>
      <x:c r="B1" s="5"/>
      <x:c r="C1" s="5"/>
      <x:c r="D1" s="5"/>
      <x:c r="E1" s="5"/>
      <x:c r="F1" s="5"/>
      <x:c r="G1" s="5"/>
      <x:c r="H1" s="5"/>
    </x:row>
    <x:row r="3">
      <x:c r="A3" s="31" t="str">
        <x:v>Model</x:v>
      </x:c>
      <x:c r="B3" s="31" t="str">
        <x:v>Typical revenue engines</x:v>
      </x:c>
      <x:c r="C3" s="31" t="str">
        <x:v>Typical expenditure structure</x:v>
      </x:c>
      <x:c r="D3" s="31" t="str">
        <x:v>Main comparison trap</x:v>
      </x:c>
      <x:c r="E3" s="31" t="str">
        <x:v>Key risk metric</x:v>
      </x:c>
      <x:c r="F3" s="31" t="str">
        <x:v>Top100 examples</x:v>
      </x:c>
      <x:c r="G3" s="31" t="str">
        <x:v>Interpretation</x:v>
      </x:c>
      <x:c r="H3" s="31" t="str">
        <x:v>Use in analysis</x:v>
      </x:c>
    </x:row>
    <x:row r="4">
      <x:c r="A4" s="16" t="str">
        <x:v>US private/endowment + research + clinical</x:v>
      </x:c>
      <x:c r="B4" s="16" t="str">
        <x:v>Tuition; sponsored research; endowment distribution; gifts; healthcare where consolidated</x:v>
      </x:c>
      <x:c r="C4" s="16" t="str">
        <x:v>People; research/instruction; clinical; facilities</x:v>
      </x:c>
      <x:c r="D4" s="16" t="str">
        <x:v>Hospital consolidation and endowment market gains can dwarf core university operations</x:v>
      </x:c>
      <x:c r="E4" s="16" t="str">
        <x:v>Clinical share; endowment distribution share; operating margin</x:v>
      </x:c>
      <x:c r="F4" s="16" t="str">
        <x:v>Stanford, Penn, Harvard, Yale, Cornell, MIT</x:v>
      </x:c>
      <x:c r="G4" s="16" t="str">
        <x:v>Separate core university, medical system and investment components before comparing scale.</x:v>
      </x:c>
      <x:c r="H4" s="16" t="str">
        <x:v>Best for margin/structure, not raw revenue leaderboard.</x:v>
      </x:c>
    </x:row>
    <x:row r="5">
      <x:c r="A5" s="16" t="str">
        <x:v>US public research</x:v>
      </x:c>
      <x:c r="B5" s="16" t="str">
        <x:v>State appropriations; tuition; federal research; auxiliary/clinical</x:v>
      </x:c>
      <x:c r="C5" s="16" t="str">
        <x:v>Instruction/research; hospitals; public service; facilities</x:v>
      </x:c>
      <x:c r="D5" s="16" t="str">
        <x:v>IPEDS core definitions may exclude hospitals/auxiliary while audited statements may include them</x:v>
      </x:c>
      <x:c r="E5" s="16" t="str">
        <x:v>State support share; research share; patient revenue</x:v>
      </x:c>
      <x:c r="F5" s="16" t="str">
        <x:v>Berkeley, UCLA, Michigan, UT Austin, UIUC, UCSD, Washington, Purdue</x:v>
      </x:c>
      <x:c r="G5" s="16" t="str">
        <x:v>Always align GASB/IPEDS scope before peer comparison.</x:v>
      </x:c>
      <x:c r="H5" s="16" t="str">
        <x:v>Use standardized national data where available.</x:v>
      </x:c>
    </x:row>
    <x:row r="6">
      <x:c r="A6" s="16" t="str">
        <x:v>UK research university</x:v>
      </x:c>
      <x:c r="B6" s="16" t="str">
        <x:v>Tuition (home/overseas); research grants/contracts; funding body grants; donations/investment</x:v>
      </x:c>
      <x:c r="C6" s="16" t="str">
        <x:v>Staff costs often dominant; teaching/research; estates</x:v>
      </x:c>
      <x:c r="D6" s="16" t="str">
        <x:v>Oxford/Cambridge college systems and investment/pension adjustments</x:v>
      </x:c>
      <x:c r="E6" s="16" t="str">
        <x:v>International tuition share; staff cost ratio; adjusted operating margin</x:v>
      </x:c>
      <x:c r="F6" s="16" t="str">
        <x:v>Oxford, Cambridge, Imperial, UCL, Edinburgh, Manchester</x:v>
      </x:c>
      <x:c r="G6" s="16" t="str">
        <x:v>Reported surplus can diverge sharply from underlying operating result.</x:v>
      </x:c>
      <x:c r="H6" s="16" t="str">
        <x:v>Prefer adjusted operating view.</x:v>
      </x:c>
    </x:row>
    <x:row r="7">
      <x:c r="A7" s="16" t="str">
        <x:v>Australia public university</x:v>
      </x:c>
      <x:c r="B7" s="16" t="str">
        <x:v>Government assistance; fees/charges; investment/consultancy</x:v>
      </x:c>
      <x:c r="C7" s="16" t="str">
        <x:v>Employee expense; depreciation; other expenses</x:v>
      </x:c>
      <x:c r="D7" s="16" t="str">
        <x:v>International students are a subset of fees; post-COVID investment and student recovery affects trend</x:v>
      </x:c>
      <x:c r="E7" s="16" t="str">
        <x:v>International-student revenue share; employee-cost ratio</x:v>
      </x:c>
      <x:c r="F7" s="16" t="str">
        <x:v>Melbourne, Sydney, UNSW, ANU, Monash, UQ, UWA, UTS</x:v>
      </x:c>
      <x:c r="G7" s="16" t="str">
        <x:v>Excellent comparability due official standardized government table.</x:v>
      </x:c>
      <x:c r="H7" s="16" t="str">
        <x:v>Use Australia_3Y as benchmark panel.</x:v>
      </x:c>
    </x:row>
    <x:row r="8">
      <x:c r="A8" s="16" t="str">
        <x:v>China public budgetary university</x:v>
      </x:c>
      <x:c r="B8" s="16" t="str">
        <x:v>Fiscal appropriation; 事业收入; other income; carryforward/balances</x:v>
      </x:c>
      <x:c r="C8" s="16" t="str">
        <x:v>Education; science/technology; social security; health; housing; project/basic expenditure</x:v>
      </x:c>
      <x:c r="D8" s="16" t="str">
        <x:v>Current-year income minus expenditure is not corporate profit/loss</x:v>
      </x:c>
      <x:c r="E8" s="16" t="str">
        <x:v>Fiscal appropriation share; project/basic spending; carryforward dependence</x:v>
      </x:c>
      <x:c r="F8" s="16" t="str">
        <x:v>Peking, Tsinghua, Fudan, SJTU, Zhejiang, Nanjing</x:v>
      </x:c>
      <x:c r="G8" s="16" t="str">
        <x:v>Budget final accounts must be read with opening/closing carryforwards and scope.</x:v>
      </x:c>
      <x:c r="H8" s="16" t="str">
        <x:v>Do not call negative current-year balance a 'loss'.</x:v>
      </x:c>
    </x:row>
    <x:row r="9">
      <x:c r="A9" s="16" t="str">
        <x:v>Hong Kong public university</x:v>
      </x:c>
      <x:c r="B9" s="16" t="str">
        <x:v>Government subvention; tuition; donations; investment; auxiliary</x:v>
      </x:c>
      <x:c r="C9" s="16" t="str">
        <x:v>Teaching/research; premises; management; academic services</x:v>
      </x:c>
      <x:c r="D9" s="16" t="str">
        <x:v>Investment gains can make annual surplus unusually high</x:v>
      </x:c>
      <x:c r="E9" s="16" t="str">
        <x:v>Investment-income share; subvention share; tuition share</x:v>
      </x:c>
      <x:c r="F9" s="16" t="str">
        <x:v>HKU, CUHK, HKUST, PolyU, CityUHK</x:v>
      </x:c>
      <x:c r="G9" s="16" t="str">
        <x:v>Separate recurring operations from market-related investment gains.</x:v>
      </x:c>
      <x:c r="H9" s="16" t="str">
        <x:v>Use 3-5 year averages when possible.</x:v>
      </x:c>
    </x:row>
    <x:row r="10">
      <x:c r="A10" s="16" t="str">
        <x:v>Singapore autonomous university</x:v>
      </x:c>
      <x:c r="B10" s="16" t="str">
        <x:v>Tuition; government operating grants; investment income; other income</x:v>
      </x:c>
      <x:c r="C10" s="16" t="str">
        <x:v>Manpower; depreciation; operating expenses</x:v>
      </x:c>
      <x:c r="D10" s="16" t="str">
        <x:v>Grants can be presented below an operating deficit, so topline labels differ</x:v>
      </x:c>
      <x:c r="E10" s="16" t="str">
        <x:v>Government grant share; manpower ratio</x:v>
      </x:c>
      <x:c r="F10" s="16" t="str">
        <x:v>NUS, NTU</x:v>
      </x:c>
      <x:c r="G10" s="16" t="str">
        <x:v>Build total recognized inflow carefully from the statement layout.</x:v>
      </x:c>
      <x:c r="H10" s="16" t="str">
        <x:v>Do not compare 'operating income' alone to other universities.</x:v>
      </x:c>
    </x:row>
    <x:row r="11">
      <x:c r="A11" s="16" t="str">
        <x:v>Continental Europe public/core funded</x:v>
      </x:c>
      <x:c r="B11" s="16" t="str">
        <x:v>Federal/state/core grants; tuition (often smaller); third-party research</x:v>
      </x:c>
      <x:c r="C11" s="16" t="str">
        <x:v>Personnel; research/teaching; infrastructure</x:v>
      </x:c>
      <x:c r="D11" s="16" t="str">
        <x:v>Different public accounting and pension/capital treatment</x:v>
      </x:c>
      <x:c r="E11" s="16" t="str">
        <x:v>Core funding share; third-party research share; personnel ratio</x:v>
      </x:c>
      <x:c r="F11" s="16" t="str">
        <x:v>ETH, EPFL, TUM, LMU, PSL, Paris-Saclay, Delft, KU Leuven</x:v>
      </x:c>
      <x:c r="G11" s="16" t="str">
        <x:v>Public grant structure can make revenue scale look smaller than US medical systems.</x:v>
      </x:c>
      <x:c r="H11" s="16" t="str">
        <x:v>Use national-system peer groups.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2" hidden="0" customWidth="1"/>
    <x:col min="4" max="4" width="70" hidden="0" customWidth="1"/>
    <x:col min="5" max="5" width="48" hidden="0" customWidth="1"/>
    <x:col min="6" max="6" width="14" hidden="0" customWidth="1"/>
    <x:col min="7" max="7" width="60" hidden="0" customWidth="1"/>
  </x:cols>
  <x:sheetData>
    <x:row r="1" ht="28" customHeight="1">
      <x:c r="A1" s="5" t="str">
        <x:v>Source Register - Official/Primary Sources Preferred</x:v>
      </x:c>
      <x:c r="B1" s="5"/>
      <x:c r="C1" s="5"/>
      <x:c r="D1" s="5"/>
      <x:c r="E1" s="5"/>
      <x:c r="F1" s="5"/>
      <x:c r="G1" s="5"/>
    </x:row>
    <x:row r="3">
      <x:c r="A3" s="31" t="str">
        <x:v>Source key</x:v>
      </x:c>
      <x:c r="B3" s="31" t="str">
        <x:v>Publisher / system</x:v>
      </x:c>
      <x:c r="C3" s="31" t="str">
        <x:v>Coverage</x:v>
      </x:c>
      <x:c r="D3" s="31" t="str">
        <x:v>URL</x:v>
      </x:c>
      <x:c r="E3" s="31" t="str">
        <x:v>Data use</x:v>
      </x:c>
      <x:c r="F3" s="31" t="str">
        <x:v>Evidence grade</x:v>
      </x:c>
      <x:c r="G3" s="31" t="str">
        <x:v>Notes</x:v>
      </x:c>
    </x:row>
    <x:row r="4">
      <x:c r="A4" s="16" t="str">
        <x:v>QS</x:v>
      </x:c>
      <x:c r="B4" s="16" t="str">
        <x:v>QS</x:v>
      </x:c>
      <x:c r="C4" s="16" t="str">
        <x:v>QS WUR 2027 Top100 universe</x:v>
      </x:c>
      <x:c r="D4" s="16" t="str">
        <x:v>https://www.topuniversities.com/world-university-rankings</x:v>
      </x:c>
      <x:c r="E4" s="16" t="str">
        <x:v>Ranking universe</x:v>
      </x:c>
      <x:c r="F4" s="16" t="str">
        <x:v>A</x:v>
      </x:c>
      <x:c r="G4" s="16" t="str">
        <x:v>Latest ranking basis used in workbook.</x:v>
      </x:c>
    </x:row>
    <x:row r="5">
      <x:c r="A5" s="16" t="str">
        <x:v>MIT</x:v>
      </x:c>
      <x:c r="B5" s="16" t="str">
        <x:v>MIT</x:v>
      </x:c>
      <x:c r="C5" s="16" t="str">
        <x:v>FY2025 operating financials</x:v>
      </x:c>
      <x:c r="D5" s="16" t="str">
        <x:v>https://facts.mit.edu/operating-financials/</x:v>
      </x:c>
      <x:c r="E5" s="16" t="str">
        <x:v>Latest totals, revenue/expense mix, investments</x:v>
      </x:c>
      <x:c r="F5" s="16" t="str">
        <x:v>A</x:v>
      </x:c>
      <x:c r="G5" s="16" t="str">
        <x:v>Official MIT Facts.</x:v>
      </x:c>
    </x:row>
    <x:row r="6">
      <x:c r="A6" s="16" t="str">
        <x:v>Harvard</x:v>
      </x:c>
      <x:c r="B6" s="16" t="str">
        <x:v>Harvard University Finance</x:v>
      </x:c>
      <x:c r="C6" s="16" t="str">
        <x:v>FY2025</x:v>
      </x:c>
      <x:c r="D6" s="16" t="str">
        <x:v>https://finance.harvard.edu/financial-overview</x:v>
      </x:c>
      <x:c r="E6" s="16" t="str">
        <x:v>Operating revenue/expense/result; broad mix</x:v>
      </x:c>
      <x:c r="F6" s="16" t="str">
        <x:v>A</x:v>
      </x:c>
      <x:c r="G6" s="16" t="str">
        <x:v>Official finance overview.</x:v>
      </x:c>
    </x:row>
    <x:row r="7">
      <x:c r="A7" s="16" t="str">
        <x:v>Stanford</x:v>
      </x:c>
      <x:c r="B7" s="16" t="str">
        <x:v>Stanford University</x:v>
      </x:c>
      <x:c r="C7" s="16" t="str">
        <x:v>FY2025</x:v>
      </x:c>
      <x:c r="D7" s="16" t="str">
        <x:v>https://bondholder-information.stanford.edu/sites/g/files/sbiybj21416/files/media/file/fy25-annual-financial-report.pdf</x:v>
      </x:c>
      <x:c r="E7" s="16" t="str">
        <x:v>Consolidated revenue/expenses/scope</x:v>
      </x:c>
      <x:c r="F7" s="16" t="str">
        <x:v>A</x:v>
      </x:c>
      <x:c r="G7" s="16" t="str">
        <x:v>Includes Stanford Health Care and LPCH/affiliates.</x:v>
      </x:c>
    </x:row>
    <x:row r="8">
      <x:c r="A8" s="16" t="str">
        <x:v>Imperial</x:v>
      </x:c>
      <x:c r="B8" s="16" t="str">
        <x:v>Imperial College London</x:v>
      </x:c>
      <x:c r="C8" s="16" t="str">
        <x:v>FY2024/25</x:v>
      </x:c>
      <x:c r="D8" s="16" t="str">
        <x:v>https://www.imperial.ac.uk/admin-services/finance/annual-report/financial-summary/income/</x:v>
      </x:c>
      <x:c r="E8" s="16" t="str">
        <x:v>Income breakdown</x:v>
      </x:c>
      <x:c r="F8" s="16" t="str">
        <x:v>A</x:v>
      </x:c>
      <x:c r="G8" s="16" t="str">
        <x:v>Official annual-report financial summary.</x:v>
      </x:c>
    </x:row>
    <x:row r="9">
      <x:c r="A9" s="16" t="str">
        <x:v>Cambridge</x:v>
      </x:c>
      <x:c r="B9" s="16" t="str">
        <x:v>University of Cambridge</x:v>
      </x:c>
      <x:c r="C9" s="16" t="str">
        <x:v>FY2024/25 and archive</x:v>
      </x:c>
      <x:c r="D9" s="16" t="str">
        <x:v>https://www.cam.ac.uk/about-the-university/annual-reports</x:v>
      </x:c>
      <x:c r="E9" s="16" t="str">
        <x:v>Reported and adjusted results</x:v>
      </x:c>
      <x:c r="F9" s="16" t="str">
        <x:v>A</x:v>
      </x:c>
      <x:c r="G9" s="16" t="str">
        <x:v>Colleges are separate institutional entities.</x:v>
      </x:c>
    </x:row>
    <x:row r="10">
      <x:c r="A10" s="16" t="str">
        <x:v>Oxford</x:v>
      </x:c>
      <x:c r="B10" s="16" t="str">
        <x:v>University of Oxford</x:v>
      </x:c>
      <x:c r="C10" s="16" t="str">
        <x:v>FY2024/25 and archive</x:v>
      </x:c>
      <x:c r="D10" s="16" t="str">
        <x:v>https://www.ox.ac.uk/about/how-we-are-run/governance-finance/finance-funding</x:v>
      </x:c>
      <x:c r="E10" s="16" t="str">
        <x:v>Income, adjusted surplus, net assets</x:v>
      </x:c>
      <x:c r="F10" s="16" t="str">
        <x:v>A</x:v>
      </x:c>
      <x:c r="G10" s="16" t="str">
        <x:v>Colleges are separate legal entities.</x:v>
      </x:c>
    </x:row>
    <x:row r="11">
      <x:c r="A11" s="16" t="str">
        <x:v>UCL</x:v>
      </x:c>
      <x:c r="B11" s="16" t="str">
        <x:v>UCL</x:v>
      </x:c>
      <x:c r="C11" s="16" t="str">
        <x:v>FY2023/24-FY2024/25</x:v>
      </x:c>
      <x:c r="D11" s="16" t="str">
        <x:v>https://www.ucl.ac.uk/about/leadership/finance-and-reporting</x:v>
      </x:c>
      <x:c r="E11" s="16" t="str">
        <x:v>Income/expense and operating margin</x:v>
      </x:c>
      <x:c r="F11" s="16" t="str">
        <x:v>B</x:v>
      </x:c>
      <x:c r="G11" s="16" t="str">
        <x:v>Rounded figures in workbook.</x:v>
      </x:c>
    </x:row>
    <x:row r="12">
      <x:c r="A12" s="16" t="str">
        <x:v>NUS</x:v>
      </x:c>
      <x:c r="B12" s="16" t="str">
        <x:v>National University of Singapore</x:v>
      </x:c>
      <x:c r="C12" s="16" t="str">
        <x:v>FY2024/25</x:v>
      </x:c>
      <x:c r="D12" s="16" t="str">
        <x:v>https://nus.edu.sg/docs/default-source/annual-report/nus-financial-report-2025.pdf</x:v>
      </x:c>
      <x:c r="E12" s="16" t="str">
        <x:v>Statement of comprehensive income</x:v>
      </x:c>
      <x:c r="F12" s="16" t="str">
        <x:v>A</x:v>
      </x:c>
      <x:c r="G12" s="16" t="str">
        <x:v>Grants/investment lines require careful reconstruction of total inflow.</x:v>
      </x:c>
    </x:row>
    <x:row r="13">
      <x:c r="A13" s="16" t="str">
        <x:v>HKU</x:v>
      </x:c>
      <x:c r="B13" s="16" t="str">
        <x:v>University of Hong Kong</x:v>
      </x:c>
      <x:c r="C13" s="16" t="str">
        <x:v>FY2024/25</x:v>
      </x:c>
      <x:c r="D13" s="16" t="str">
        <x:v>https://annualreport.hku.hk/2025/annual-accounts.html</x:v>
      </x:c>
      <x:c r="E13" s="16" t="str">
        <x:v>Full revenue and expenditure categories</x:v>
      </x:c>
      <x:c r="F13" s="16" t="str">
        <x:v>A</x:v>
      </x:c>
      <x:c r="G13" s="16" t="str">
        <x:v>Official annual accounts.</x:v>
      </x:c>
    </x:row>
    <x:row r="14">
      <x:c r="A14" s="16" t="str">
        <x:v>Caltech</x:v>
      </x:c>
      <x:c r="B14" s="16" t="str">
        <x:v>Caltech Finance</x:v>
      </x:c>
      <x:c r="C14" s="16" t="str">
        <x:v>FY2025</x:v>
      </x:c>
      <x:c r="D14" s="16" t="str">
        <x:v>https://finance.caltech.edu/Resources/financials</x:v>
      </x:c>
      <x:c r="E14" s="16" t="str">
        <x:v>Operating result and JPL scope</x:v>
      </x:c>
      <x:c r="F14" s="16" t="str">
        <x:v>B</x:v>
      </x:c>
      <x:c r="G14" s="16" t="str">
        <x:v>Full topline not harmonized in this version.</x:v>
      </x:c>
    </x:row>
    <x:row r="15">
      <x:c r="A15" s="16" t="str">
        <x:v>ETH</x:v>
      </x:c>
      <x:c r="B15" s="16" t="str">
        <x:v>ETH Zurich</x:v>
      </x:c>
      <x:c r="C15" s="16" t="str">
        <x:v>FY2023</x:v>
      </x:c>
      <x:c r="D15" s="16" t="str">
        <x:v>https://ethz.ch/en/the-eth-zurich/organisation/financial-statements.html</x:v>
      </x:c>
      <x:c r="E15" s="16" t="str">
        <x:v>Key funding lines</x:v>
      </x:c>
      <x:c r="F15" s="16" t="str">
        <x:v>B</x:v>
      </x:c>
      <x:c r="G15" s="16" t="str">
        <x:v>Partial category extraction.</x:v>
      </x:c>
    </x:row>
    <x:row r="16">
      <x:c r="A16" s="16" t="str">
        <x:v>Peking</x:v>
      </x:c>
      <x:c r="B16" s="16" t="str">
        <x:v>Peking University</x:v>
      </x:c>
      <x:c r="C16" s="16" t="str">
        <x:v>FY2025 final accounts</x:v>
      </x:c>
      <x:c r="D16" s="16" t="str">
        <x:v>https://xxgk.pku.edu.cn/docs/2026-08/a370fd617ccb405e84dc53cb726502e2.pdf</x:v>
      </x:c>
      <x:c r="E16" s="16" t="str">
        <x:v>Budgetary income/expenditure and carryforward context</x:v>
      </x:c>
      <x:c r="F16" s="16" t="str">
        <x:v>A</x:v>
      </x:c>
      <x:c r="G16" s="16" t="str">
        <x:v>Public-sector budget final accounts; units converted from RMB 10,000 to CNYm.</x:v>
      </x:c>
    </x:row>
    <x:row r="17">
      <x:c r="A17" s="16" t="str">
        <x:v>Tsinghua</x:v>
      </x:c>
      <x:c r="B17" s="16" t="str">
        <x:v>Tsinghua University</x:v>
      </x:c>
      <x:c r="C17" s="16" t="str">
        <x:v>FY2025 final accounts</x:v>
      </x:c>
      <x:c r="D17" s="16" t="str">
        <x:v>https://www.tsinghua.edu.cn/__local/D/36/72/95594450951E25283DD5E82BF22_3B0FFE88_69AC7.pdf</x:v>
      </x:c>
      <x:c r="E17" s="16" t="str">
        <x:v>Budgetary income/expenditure and scope</x:v>
      </x:c>
      <x:c r="F17" s="16" t="str">
        <x:v>A</x:v>
      </x:c>
      <x:c r="G17" s="16" t="str">
        <x:v>Includes affiliated schools and hospitals; units converted from RMB 10,000 to CNYm.</x:v>
      </x:c>
    </x:row>
    <x:row r="18">
      <x:c r="A18" s="16" t="str">
        <x:v>Penn</x:v>
      </x:c>
      <x:c r="B18" s="16" t="str">
        <x:v>University of Pennsylvania</x:v>
      </x:c>
      <x:c r="C18" s="16" t="str">
        <x:v>FY2024</x:v>
      </x:c>
      <x:c r="D18" s="16" t="str">
        <x:v>https://www.finance.upenn.edu/wp-content/uploads/Penn-Division-of-Finance-FY24-Annual-Report.pdf</x:v>
      </x:c>
      <x:c r="E18" s="16" t="str">
        <x:v>Consolidated revenue/result; historical revenue mix</x:v>
      </x:c>
      <x:c r="F18" s="16" t="str">
        <x:v>A</x:v>
      </x:c>
      <x:c r="G18" s="16" t="str">
        <x:v>Health system consolidated.</x:v>
      </x:c>
    </x:row>
    <x:row r="19">
      <x:c r="A19" s="16" t="str">
        <x:v>Cornell</x:v>
      </x:c>
      <x:c r="B19" s="16" t="str">
        <x:v>Cornell University</x:v>
      </x:c>
      <x:c r="C19" s="16" t="str">
        <x:v>FY2025</x:v>
      </x:c>
      <x:c r="D19" s="16" t="str">
        <x:v>https://finance.cornell.edu/financial-guide/operating-budget-sources-and-uses/operating-budget-revenue</x:v>
      </x:c>
      <x:c r="E19" s="16" t="str">
        <x:v>Operating budget revenue; financial-statement operating result</x:v>
      </x:c>
      <x:c r="F19" s="16" t="str">
        <x:v>A</x:v>
      </x:c>
      <x:c r="G19" s="16" t="str">
        <x:v>Mixed bases explicitly flagged.</x:v>
      </x:c>
    </x:row>
    <x:row r="20">
      <x:c r="A20" s="16" t="str">
        <x:v>Yale</x:v>
      </x:c>
      <x:c r="B20" s="16" t="str">
        <x:v>Yale University</x:v>
      </x:c>
      <x:c r="C20" s="16" t="str">
        <x:v>FY2024 + FY2025 endowment context</x:v>
      </x:c>
      <x:c r="D20" s="16" t="str">
        <x:v>https://provost.yale.edu/news/university-budget-update-2024-2025</x:v>
      </x:c>
      <x:c r="E20" s="16" t="str">
        <x:v>Operating revenue/result</x:v>
      </x:c>
      <x:c r="F20" s="16" t="str">
        <x:v>A</x:v>
      </x:c>
      <x:c r="G20" s="16" t="str">
        <x:v>Latest fully quantified audited operating result used is FY2024.</x:v>
      </x:c>
    </x:row>
    <x:row r="21">
      <x:c r="A21" s="16" t="str">
        <x:v>Australia2024</x:v>
      </x:c>
      <x:c r="B21" s="16" t="str">
        <x:v>Australian Dept of Education</x:v>
      </x:c>
      <x:c r="C21" s="16" t="str">
        <x:v>FY2024 all providers</x:v>
      </x:c>
      <x:c r="D21" s="16" t="str">
        <x:v>https://www.education.gov.au/download/19832/finance-2024-financial-reports-higher-education-providers/43010/2024-higher-education-providers-finance-tables/csv</x:v>
      </x:c>
      <x:c r="E21" s="16" t="str">
        <x:v>Standardized detailed institution finance table</x:v>
      </x:c>
      <x:c r="F21" s="16" t="str">
        <x:v>A</x:v>
      </x:c>
      <x:c r="G21" s="16" t="str">
        <x:v>Best cross-institution comparable panel in workbook.</x:v>
      </x:c>
    </x:row>
    <x:row r="22">
      <x:c r="A22" s="16" t="str">
        <x:v>Australia2023</x:v>
      </x:c>
      <x:c r="B22" s="16" t="str">
        <x:v>Australian Dept of Education</x:v>
      </x:c>
      <x:c r="C22" s="16" t="str">
        <x:v>FY2023 all providers</x:v>
      </x:c>
      <x:c r="D22" s="16" t="str">
        <x:v>https://www.education.gov.au/download/18872/finance-2023-financial-reports-higher-education-providers/40112/2023-higher-education-providers-finance-tables/csv</x:v>
      </x:c>
      <x:c r="E22" s="16" t="str">
        <x:v>Historical standardized panel</x:v>
      </x:c>
      <x:c r="F22" s="16" t="str">
        <x:v>A</x:v>
      </x:c>
      <x:c r="G22" s="16" t="str">
        <x:v>Official provider finance table.</x:v>
      </x:c>
    </x:row>
    <x:row r="23">
      <x:c r="A23" s="16" t="str">
        <x:v>Australia2022</x:v>
      </x:c>
      <x:c r="B23" s="16" t="str">
        <x:v>Australian Dept of Education</x:v>
      </x:c>
      <x:c r="C23" s="16" t="str">
        <x:v>FY2022 all providers</x:v>
      </x:c>
      <x:c r="D23" s="16" t="str">
        <x:v>https://www.education.gov.au/download/17857/finance-2022-financial-reports-higher-education-providers/36064/2022-higher-education-providers-finance-tables/csv</x:v>
      </x:c>
      <x:c r="E23" s="16" t="str">
        <x:v>Historical standardized panel</x:v>
      </x:c>
      <x:c r="F23" s="16" t="str">
        <x:v>A</x:v>
      </x:c>
      <x:c r="G23" s="16" t="str">
        <x:v>Official provider finance table.</x:v>
      </x:c>
    </x:row>
    <x:row r="24">
      <x:c r="A24" s="16" t="str">
        <x:v>IPEDS</x:v>
      </x:c>
      <x:c r="B24" s="16" t="str">
        <x:v>US NCES/IPEDS</x:v>
      </x:c>
      <x:c r="C24" s="16" t="str">
        <x:v>US higher education</x:v>
      </x:c>
      <x:c r="D24" s="16" t="str">
        <x:v>https://nces.ed.gov/ipeds/use-the-data</x:v>
      </x:c>
      <x:c r="E24" s="16" t="str">
        <x:v>National standardization reference</x:v>
      </x:c>
      <x:c r="F24" s="16" t="str">
        <x:v>A</x:v>
      </x:c>
      <x:c r="G24" s="16" t="str">
        <x:v>IPEDS finance definitions may exclude hospitals/auxiliary depending table and sector.</x:v>
      </x:c>
    </x:row>
    <x:row r="25">
      <x:c r="A25" s="16" t="str">
        <x:v>HESA</x:v>
      </x:c>
      <x:c r="B25" s="16" t="str">
        <x:v>UK HESA</x:v>
      </x:c>
      <x:c r="C25" s="16" t="str">
        <x:v>UK higher education finance</x:v>
      </x:c>
      <x:c r="D25" s="16" t="str">
        <x:v>https://www.hesa.ac.uk/data-and-analysis/finances</x:v>
      </x:c>
      <x:c r="E25" s="16" t="str">
        <x:v>National standardization reference</x:v>
      </x:c>
      <x:c r="F25" s="16" t="str">
        <x:v>A</x:v>
      </x:c>
      <x:c r="G25" s="16" t="str">
        <x:v>Detailed finance tables include income, expenditure, staff costs and key indicators.</x:v>
      </x:c>
    </x:row>
    <x:row r="26">
      <x:c r="A26" s="16" t="str">
        <x:v>FINUNI</x:v>
      </x:c>
      <x:c r="B26" s="16" t="str">
        <x:v>Statistics Canada</x:v>
      </x:c>
      <x:c r="C26" s="16" t="str">
        <x:v>Canada universities</x:v>
      </x:c>
      <x:c r="D26" s="16" t="str">
        <x:v>https://www.statcan.gc.ca/en/statistical-programs/instrument/3121_Q1_V5</x:v>
      </x:c>
      <x:c r="E26" s="16" t="str">
        <x:v>National system reference</x:v>
      </x:c>
      <x:c r="F26" s="16" t="str">
        <x:v>A</x:v>
      </x:c>
      <x:c r="G26" s="16" t="str">
        <x:v>FINUNI classifies grants, fees, donations, investments and expenditures by function/fund.</x:v>
      </x:c>
    </x:row>
  </x:sheetData>
  <x:mergeCells>
    <x:mergeCell ref="A1:G1"/>
  </x:mergeCells>
  <x:pageMargins left="0.7" right="0.7" top="0.75" bottom="0.75" header="0.3" footer="0.3"/>
</x:worksheet>
</file>