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ab9afee86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185cd765f664685"/>
    <x:sheet xmlns:r="http://schemas.openxmlformats.org/officeDocument/2006/relationships" name="73县体检" sheetId="2" r:id="Rd45445998a904d46"/>
    <x:sheet xmlns:r="http://schemas.openxmlformats.org/officeDocument/2006/relationships" name="2020-2025时序" sheetId="3" r:id="R9a707f90b8ec4c73"/>
    <x:sheet xmlns:r="http://schemas.openxmlformats.org/officeDocument/2006/relationships" name="评分模型" sheetId="4" r:id="Rc5fb2878c09b48c3"/>
    <x:sheet xmlns:r="http://schemas.openxmlformats.org/officeDocument/2006/relationships" name="数据源与口径" sheetId="5" r:id="R7a80d868b1214044"/>
    <x:sheet xmlns:r="http://schemas.openxmlformats.org/officeDocument/2006/relationships" name="数据缺口" sheetId="6" r:id="Redc7b70fc4b6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%"/>
    <x:numFmt numFmtId="203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fe6061f634c07" /><Relationship Type="http://schemas.openxmlformats.org/officeDocument/2006/relationships/theme" Target="/xl/theme/theme1.xml" Id="Rafd5d48a561f4750" /><Relationship Type="http://schemas.openxmlformats.org/officeDocument/2006/relationships/sharedStrings" Target="/xl/sharedStrings.xml" Id="Rc07624aa8a674582" /><Relationship Type="http://schemas.openxmlformats.org/officeDocument/2006/relationships/worksheet" Target="/xl/worksheets/sheet1.xml" Id="Rc185cd765f664685" /><Relationship Type="http://schemas.openxmlformats.org/officeDocument/2006/relationships/worksheet" Target="/xl/worksheets/sheet2.xml" Id="Rd45445998a904d46" /><Relationship Type="http://schemas.openxmlformats.org/officeDocument/2006/relationships/worksheet" Target="/xl/worksheets/sheet3.xml" Id="R9a707f90b8ec4c73" /><Relationship Type="http://schemas.openxmlformats.org/officeDocument/2006/relationships/worksheet" Target="/xl/worksheets/sheet4.xml" Id="Rc5fb2878c09b48c3" /><Relationship Type="http://schemas.openxmlformats.org/officeDocument/2006/relationships/worksheet" Target="/xl/worksheets/sheet5.xml" Id="R7a80d868b1214044" /><Relationship Type="http://schemas.openxmlformats.org/officeDocument/2006/relationships/worksheet" Target="/xl/worksheets/sheet6.xml" Id="Redc7b70fc4b648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6c0ac22d8547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73县研究分类分布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'总览'!$G$13:$G$16</c:f>
              <c:strCache>
                <c:ptCount val="0"/>
              </c:strCache>
            </c:strRef>
          </c:cat>
          <c:val>
            <c:numRef>
              <c:f>'总览'!$H$13:$H$16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6c0ac22d8547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ountyHealthTable" displayName="CountyHealthTable" ref="A1:AA74" headerRowCount="1" totalsRowCount="0" totalsRowShown="0">
  <x:tableColumns count="27">
    <x:tableColumn id="1" name="地级市"/>
    <x:tableColumn id="2" name="县/县级市"/>
    <x:tableColumn id="3" name="主导产业"/>
    <x:tableColumn id="4" name="研究等级"/>
    <x:tableColumn id="5" name="类型"/>
    <x:tableColumn id="6" name="未来增长抓手"/>
    <x:tableColumn id="7" name="研究初评(0-100)"/>
    <x:tableColumn id="8" name="产业集中度_研究估计"/>
    <x:tableColumn id="9" name="GDP2020"/>
    <x:tableColumn id="10" name="GDP2025"/>
    <x:tableColumn id="11" name="GDP CAGR"/>
    <x:tableColumn id="12" name="人口2020"/>
    <x:tableColumn id="13" name="人口2025"/>
    <x:tableColumn id="14" name="出生2020"/>
    <x:tableColumn id="15" name="出生2025"/>
    <x:tableColumn id="16" name="财政收入2025"/>
    <x:tableColumn id="17" name="财政支出2025"/>
    <x:tableColumn id="18" name="地产销售额2025"/>
    <x:tableColumn id="19" name="规上工业营收2025"/>
    <x:tableColumn id="20" name="人口衰退指数"/>
    <x:tableColumn id="21" name="财政依赖指数"/>
    <x:tableColumn id="22" name="产业集中度_数据值"/>
    <x:tableColumn id="23" name="房地产依赖度"/>
    <x:tableColumn id="24" name="数据版未来增长评分"/>
    <x:tableColumn id="25" name="数据完整度"/>
    <x:tableColumn id="26" name="预警"/>
    <x:tableColumn id="27" name="来源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imeSeriesTable" displayName="TimeSeriesTable" ref="A1:T439" headerRowCount="1" totalsRowCount="0" totalsRowShown="0">
  <x:tableColumns count="20">
    <x:tableColumn id="1" name="地级市"/>
    <x:tableColumn id="2" name="县/县级市"/>
    <x:tableColumn id="3" name="年份"/>
    <x:tableColumn id="4" name="GDP(亿元)"/>
    <x:tableColumn id="5" name="常住人口(万人)"/>
    <x:tableColumn id="6" name="出生人口(人)"/>
    <x:tableColumn id="7" name="一般公共预算收入(亿元)"/>
    <x:tableColumn id="8" name="一般公共预算支出(亿元)"/>
    <x:tableColumn id="9" name="规上工业增加值增速(%)"/>
    <x:tableColumn id="10" name="规上工业营收/主营业务收入(亿元)"/>
    <x:tableColumn id="11" name="商品房销售面积(万㎡)"/>
    <x:tableColumn id="12" name="商品房销售额(亿元)"/>
    <x:tableColumn id="13" name="住户存款余额(亿元)"/>
    <x:tableColumn id="14" name="城镇新增就业(人)"/>
    <x:tableColumn id="15" name="主导产业产值(亿元)"/>
    <x:tableColumn id="16" name="主导产业占规上工业比重(%)"/>
    <x:tableColumn id="17" name="重大项目投资(亿元)"/>
    <x:tableColumn id="18" name="来源等级"/>
    <x:tableColumn id="19" name="来源URL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Table" displayName="GapTable" ref="A1:H74" headerRowCount="1" totalsRowCount="0" totalsRowShown="0">
  <x:tableColumns count="8">
    <x:tableColumn id="1" name="县/县级市"/>
    <x:tableColumn id="2" name="地级市"/>
    <x:tableColumn id="3" name="GDP2025"/>
    <x:tableColumn id="4" name="人口2025"/>
    <x:tableColumn id="5" name="出生2025"/>
    <x:tableColumn id="6" name="财政收支2025"/>
    <x:tableColumn id="7" name="地产销售2025"/>
    <x:tableColumn id="8" name="下一步优先补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e8beab47614a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91b82c671e42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f96ed8e6a446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f186b054f00474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2" hidden="0" customWidth="1"/>
    <x:col min="5" max="5" width="38" hidden="0" customWidth="1"/>
    <x:col min="6" max="6" width="3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4" t="str">
        <x:v>江西73县县域经济体检表（2020–2025）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>
      <x:c r="A2" s="32" t="str">
        <x:v>目标：识别“GDP仍增长，但人口/财政/地产/产业质量内部收缩”的县域。V1坚持：官方数据优先、缺失不补0、研究判断与统计数据分层。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>
      <x:c r="A5" s="48" t="str">
        <x:v>指标</x:v>
      </x:c>
      <x:c r="B5" s="48" t="str">
        <x:v>数量</x:v>
      </x:c>
      <x:c r="C5" s="16"/>
      <x:c r="D5" s="48" t="str">
        <x:v>数据建设</x:v>
      </x:c>
      <x:c r="E5" s="48" t="str">
        <x:v>记录数</x:v>
      </x:c>
      <x:c r="F5" s="16"/>
      <x:c r="G5" s="32" t="str">
        <x:v>V1读法：
① 先看数据完整度；
② 数据版评分为空=关键硬数据未齐，不代表差；
③ 研究初评覆盖全部73县；
④ 下一轮优先补2025人口、财政、地产，才可批量抓出“表面增长/内部收缩”。</x:v>
      </x:c>
      <x:c r="H5" s="32"/>
      <x:c r="I5" s="32"/>
      <x:c r="J5" s="32"/>
    </x:row>
    <x:row r="6">
      <x:c r="A6" s="16" t="str">
        <x:v>增长型</x:v>
      </x:c>
      <x:c r="B6" s="16" t="n">
        <x:v>11</x:v>
      </x:c>
      <x:c r="C6" s="16"/>
      <x:c r="D6" s="16" t="str">
        <x:v>73县×6年时序行</x:v>
      </x:c>
      <x:c r="E6" s="16" t="n">
        <x:v>438</x:v>
      </x:c>
      <x:c r="F6" s="16"/>
      <x:c r="G6" s="32"/>
      <x:c r="H6" s="32"/>
      <x:c r="I6" s="32"/>
      <x:c r="J6" s="32"/>
    </x:row>
    <x:row r="7">
      <x:c r="A7" s="16" t="str">
        <x:v>转型增长型</x:v>
      </x:c>
      <x:c r="B7" s="16" t="n">
        <x:v>18</x:v>
      </x:c>
      <x:c r="C7" s="16"/>
      <x:c r="D7" s="16" t="str">
        <x:v>已有GDP记录</x:v>
      </x:c>
      <x:c r="E7" s="16" t="n">
        <x:v>99</x:v>
      </x:c>
      <x:c r="F7" s="16"/>
      <x:c r="G7" s="32"/>
      <x:c r="H7" s="32"/>
      <x:c r="I7" s="32"/>
      <x:c r="J7" s="32"/>
    </x:row>
    <x:row r="8">
      <x:c r="A8" s="16" t="str">
        <x:v>转型型</x:v>
      </x:c>
      <x:c r="B8" s="16" t="n">
        <x:v>16</x:v>
      </x:c>
      <x:c r="C8" s="16"/>
      <x:c r="D8" s="16" t="str">
        <x:v>已有人口记录</x:v>
      </x:c>
      <x:c r="E8" s="16" t="n">
        <x:v>4</x:v>
      </x:c>
      <x:c r="F8" s="16"/>
      <x:c r="G8" s="32"/>
      <x:c r="H8" s="32"/>
      <x:c r="I8" s="32"/>
      <x:c r="J8" s="32"/>
    </x:row>
    <x:row r="9">
      <x:c r="A9" s="16" t="str">
        <x:v>承压/收缩</x:v>
      </x:c>
      <x:c r="B9" s="16" t="n">
        <x:v>28</x:v>
      </x:c>
      <x:c r="C9" s="16"/>
      <x:c r="D9" s="16" t="str">
        <x:v>已有财政收支完整记录</x:v>
      </x:c>
      <x:c r="E9" s="16" t="n">
        <x:v>1</x:v>
      </x:c>
      <x:c r="F9" s="16"/>
      <x:c r="G9" s="32"/>
      <x:c r="H9" s="32"/>
      <x:c r="I9" s="32"/>
      <x:c r="J9" s="32"/>
    </x:row>
    <x:row r="10">
      <x:c r="A10" s="16"/>
      <x:c r="B10" s="16"/>
      <x:c r="C10" s="16"/>
      <x:c r="D10" s="16" t="str">
        <x:v>已有住户存款记录</x:v>
      </x:c>
      <x:c r="E10" s="16" t="n">
        <x:v>62</x:v>
      </x:c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6" t="str">
        <x:v>研究初评Top15</x:v>
      </x:c>
      <x:c r="B12" s="6" t="str">
        <x:v>地级市</x:v>
      </x:c>
      <x:c r="C12" s="6" t="str">
        <x:v>研究评分</x:v>
      </x:c>
      <x:c r="D12" s="6" t="str">
        <x:v>类型</x:v>
      </x:c>
      <x:c r="E12" s="6" t="str">
        <x:v>核心产业</x:v>
      </x:c>
      <x:c r="F12" s="16"/>
      <x:c r="G12" s="6" t="str">
        <x:v>类型</x:v>
      </x:c>
      <x:c r="H12" s="6" t="str">
        <x:v>数量</x:v>
      </x:c>
      <x:c r="I12" s="16"/>
      <x:c r="J12" s="16"/>
    </x:row>
    <x:row r="13">
      <x:c r="A13" s="16" t="str">
        <x:v>南昌县</x:v>
      </x:c>
      <x:c r="B13" s="16" t="str">
        <x:v>南昌市</x:v>
      </x:c>
      <x:c r="C13" s="16" t="n">
        <x:v>94</x:v>
      </x:c>
      <x:c r="D13" s="16" t="str">
        <x:v>增长型</x:v>
      </x:c>
      <x:c r="E13" s="16" t="str">
        <x:v>汽车整车及零部件、装备、食品、生物医药、新材料</x:v>
      </x:c>
      <x:c r="F13" s="16"/>
      <x:c r="G13" s="16" t="str">
        <x:v>增长型</x:v>
      </x:c>
      <x:c r="H13" s="16" t="n">
        <x:v>11</x:v>
      </x:c>
      <x:c r="I13" s="16"/>
      <x:c r="J13" s="16"/>
    </x:row>
    <x:row r="14">
      <x:c r="A14" s="16" t="str">
        <x:v>贵溪市</x:v>
      </x:c>
      <x:c r="B14" s="16" t="str">
        <x:v>鹰潭市</x:v>
      </x:c>
      <x:c r="C14" s="16" t="n">
        <x:v>90</x:v>
      </x:c>
      <x:c r="D14" s="16" t="str">
        <x:v>增长型</x:v>
      </x:c>
      <x:c r="E14" s="16" t="str">
        <x:v>铜冶炼、铜基新材料、电子材料</x:v>
      </x:c>
      <x:c r="F14" s="16"/>
      <x:c r="G14" s="16" t="str">
        <x:v>转型增长型</x:v>
      </x:c>
      <x:c r="H14" s="16" t="n">
        <x:v>18</x:v>
      </x:c>
      <x:c r="I14" s="16"/>
      <x:c r="J14" s="16"/>
    </x:row>
    <x:row r="15">
      <x:c r="A15" s="16" t="str">
        <x:v>信丰县</x:v>
      </x:c>
      <x:c r="B15" s="16" t="str">
        <x:v>赣州市</x:v>
      </x:c>
      <x:c r="C15" s="16" t="n">
        <x:v>90</x:v>
      </x:c>
      <x:c r="D15" s="16" t="str">
        <x:v>增长型</x:v>
      </x:c>
      <x:c r="E15" s="16" t="str">
        <x:v>PCB/电子信息、装备、新能源</x:v>
      </x:c>
      <x:c r="F15" s="16"/>
      <x:c r="G15" s="16" t="str">
        <x:v>转型型</x:v>
      </x:c>
      <x:c r="H15" s="16" t="n">
        <x:v>16</x:v>
      </x:c>
      <x:c r="I15" s="16"/>
      <x:c r="J15" s="16"/>
    </x:row>
    <x:row r="16">
      <x:c r="A16" s="16" t="str">
        <x:v>龙南市</x:v>
      </x:c>
      <x:c r="B16" s="16" t="str">
        <x:v>赣州市</x:v>
      </x:c>
      <x:c r="C16" s="16" t="n">
        <x:v>90</x:v>
      </x:c>
      <x:c r="D16" s="16" t="str">
        <x:v>增长型</x:v>
      </x:c>
      <x:c r="E16" s="16" t="str">
        <x:v>电子信息、PCB、新材料、锂电材料</x:v>
      </x:c>
      <x:c r="F16" s="16"/>
      <x:c r="G16" s="16" t="str">
        <x:v>承压/收缩</x:v>
      </x:c>
      <x:c r="H16" s="16" t="n">
        <x:v>28</x:v>
      </x:c>
      <x:c r="I16" s="16"/>
      <x:c r="J16" s="16"/>
    </x:row>
    <x:row r="17">
      <x:c r="A17" s="16" t="str">
        <x:v>永修县</x:v>
      </x:c>
      <x:c r="B17" s="16" t="str">
        <x:v>九江市</x:v>
      </x:c>
      <x:c r="C17" s="16" t="n">
        <x:v>85</x:v>
      </x:c>
      <x:c r="D17" s="16" t="str">
        <x:v>增长型</x:v>
      </x:c>
      <x:c r="E17" s="16" t="str">
        <x:v>有机硅、新材料、化工、文旅</x:v>
      </x:c>
      <x:c r="F17" s="16"/>
      <x:c r="G17" s="16"/>
      <x:c r="H17" s="16"/>
      <x:c r="I17" s="16"/>
      <x:c r="J17" s="16"/>
    </x:row>
    <x:row r="18">
      <x:c r="A18" s="16" t="str">
        <x:v>湖口县</x:v>
      </x:c>
      <x:c r="B18" s="16" t="str">
        <x:v>九江市</x:v>
      </x:c>
      <x:c r="C18" s="16" t="n">
        <x:v>85</x:v>
      </x:c>
      <x:c r="D18" s="16" t="str">
        <x:v>增长型</x:v>
      </x:c>
      <x:c r="E18" s="16" t="str">
        <x:v>钢铁、有色、锂电材料、新材料、港口</x:v>
      </x:c>
      <x:c r="F18" s="16"/>
      <x:c r="G18" s="16"/>
      <x:c r="H18" s="16"/>
      <x:c r="I18" s="16"/>
      <x:c r="J18" s="16"/>
    </x:row>
    <x:row r="19">
      <x:c r="A19" s="16" t="str">
        <x:v>于都县</x:v>
      </x:c>
      <x:c r="B19" s="16" t="str">
        <x:v>赣州市</x:v>
      </x:c>
      <x:c r="C19" s="16" t="n">
        <x:v>85</x:v>
      </x:c>
      <x:c r="D19" s="16" t="str">
        <x:v>增长型</x:v>
      </x:c>
      <x:c r="E19" s="16" t="str">
        <x:v>纺织服装、电子、装备</x:v>
      </x:c>
      <x:c r="F19" s="16"/>
      <x:c r="G19" s="16"/>
      <x:c r="H19" s="16"/>
      <x:c r="I19" s="16"/>
      <x:c r="J19" s="16"/>
    </x:row>
    <x:row r="20">
      <x:c r="A20" s="16" t="str">
        <x:v>德兴市</x:v>
      </x:c>
      <x:c r="B20" s="16" t="str">
        <x:v>上饶市</x:v>
      </x:c>
      <x:c r="C20" s="16" t="n">
        <x:v>85</x:v>
      </x:c>
      <x:c r="D20" s="16" t="str">
        <x:v>增长型</x:v>
      </x:c>
      <x:c r="E20" s="16" t="str">
        <x:v>铜、黄金、有色、医药化工、机械电子</x:v>
      </x:c>
      <x:c r="F20" s="16"/>
      <x:c r="G20" s="16"/>
      <x:c r="H20" s="16"/>
      <x:c r="I20" s="16"/>
      <x:c r="J20" s="16"/>
    </x:row>
    <x:row r="21">
      <x:c r="A21" s="16" t="str">
        <x:v>共青城市</x:v>
      </x:c>
      <x:c r="B21" s="16" t="str">
        <x:v>九江市</x:v>
      </x:c>
      <x:c r="C21" s="16" t="n">
        <x:v>82</x:v>
      </x:c>
      <x:c r="D21" s="16" t="str">
        <x:v>增长型</x:v>
      </x:c>
      <x:c r="E21" s="16" t="str">
        <x:v>羽绒服装、电子信息、新材料、数字/低空产业</x:v>
      </x:c>
      <x:c r="F21" s="16"/>
      <x:c r="G21" s="16"/>
      <x:c r="H21" s="16"/>
      <x:c r="I21" s="16"/>
      <x:c r="J21" s="16"/>
    </x:row>
    <x:row r="22">
      <x:c r="A22" s="16" t="str">
        <x:v>吉安县</x:v>
      </x:c>
      <x:c r="B22" s="16" t="str">
        <x:v>吉安市</x:v>
      </x:c>
      <x:c r="C22" s="16" t="n">
        <x:v>82</x:v>
      </x:c>
      <x:c r="D22" s="16" t="str">
        <x:v>增长型</x:v>
      </x:c>
      <x:c r="E22" s="16" t="str">
        <x:v>电子信息、先进制造</x:v>
      </x:c>
      <x:c r="F22" s="16"/>
      <x:c r="G22" s="16"/>
      <x:c r="H22" s="16"/>
      <x:c r="I22" s="16"/>
      <x:c r="J22" s="16"/>
    </x:row>
    <x:row r="23">
      <x:c r="A23" s="16" t="str">
        <x:v>丰城市</x:v>
      </x:c>
      <x:c r="B23" s="16" t="str">
        <x:v>宜春市</x:v>
      </x:c>
      <x:c r="C23" s="16" t="n">
        <x:v>82</x:v>
      </x:c>
      <x:c r="D23" s="16" t="str">
        <x:v>增长型</x:v>
      </x:c>
      <x:c r="E23" s="16" t="str">
        <x:v>循环经济、铜铝、装备、电力、新能源</x:v>
      </x:c>
      <x:c r="F23" s="16"/>
      <x:c r="G23" s="16"/>
      <x:c r="H23" s="16"/>
      <x:c r="I23" s="16"/>
      <x:c r="J23" s="16"/>
    </x:row>
    <x:row r="24">
      <x:c r="A24" s="16" t="str">
        <x:v>进贤县</x:v>
      </x:c>
      <x:c r="B24" s="16" t="str">
        <x:v>南昌市</x:v>
      </x:c>
      <x:c r="C24" s="16" t="n">
        <x:v>77</x:v>
      </x:c>
      <x:c r="D24" s="16" t="str">
        <x:v>转型增长型</x:v>
      </x:c>
      <x:c r="E24" s="16" t="str">
        <x:v>医疗器械、钢结构、农业、电商</x:v>
      </x:c>
      <x:c r="F24" s="16"/>
      <x:c r="G24" s="16"/>
      <x:c r="H24" s="16"/>
      <x:c r="I24" s="16"/>
      <x:c r="J24" s="16"/>
    </x:row>
    <x:row r="25">
      <x:c r="A25" s="16" t="str">
        <x:v>芦溪县</x:v>
      </x:c>
      <x:c r="B25" s="16" t="str">
        <x:v>萍乡市</x:v>
      </x:c>
      <x:c r="C25" s="16" t="n">
        <x:v>77</x:v>
      </x:c>
      <x:c r="D25" s="16" t="str">
        <x:v>转型增长型</x:v>
      </x:c>
      <x:c r="E25" s="16" t="str">
        <x:v>电瓷、电气装备、新材料</x:v>
      </x:c>
      <x:c r="F25" s="16"/>
      <x:c r="G25" s="16"/>
      <x:c r="H25" s="16"/>
      <x:c r="I25" s="16"/>
      <x:c r="J25" s="16"/>
    </x:row>
    <x:row r="26">
      <x:c r="A26" s="16" t="str">
        <x:v>瑞昌市</x:v>
      </x:c>
      <x:c r="B26" s="16" t="str">
        <x:v>九江市</x:v>
      </x:c>
      <x:c r="C26" s="16" t="n">
        <x:v>77</x:v>
      </x:c>
      <x:c r="D26" s="16" t="str">
        <x:v>转型增长型</x:v>
      </x:c>
      <x:c r="E26" s="16" t="str">
        <x:v>新材料、矿产加工、装备、港口产业</x:v>
      </x:c>
      <x:c r="F26" s="16"/>
      <x:c r="G26" s="16"/>
      <x:c r="H26" s="16"/>
      <x:c r="I26" s="16"/>
      <x:c r="J26" s="16"/>
    </x:row>
    <x:row r="27">
      <x:c r="A27" s="16" t="str">
        <x:v>上犹县</x:v>
      </x:c>
      <x:c r="B27" s="16" t="str">
        <x:v>赣州市</x:v>
      </x:c>
      <x:c r="C27" s="16" t="n">
        <x:v>77</x:v>
      </x:c>
      <x:c r="D27" s="16" t="str">
        <x:v>转型增长型</x:v>
      </x:c>
      <x:c r="E27" s="16" t="str">
        <x:v>玻纤、新材料、电子、旅游</x:v>
      </x:c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</x:sheetData>
  <x:mergeCells>
    <x:mergeCell ref="A1:J1"/>
    <x:mergeCell ref="A2:J3"/>
    <x:mergeCell ref="G5:J9"/>
  </x:mergeCells>
  <x:pageMargins left="0.7" right="0.7" top="0.75" bottom="0.75" header="0.3" footer="0.3"/>
  <x:drawing xmlns:r="http://schemas.openxmlformats.org/officeDocument/2006/relationships" r:id="Rf4e8beab47614a4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10" hidden="0" customWidth="1"/>
    <x:col min="5" max="5" width="14" hidden="0" customWidth="1"/>
    <x:col min="6" max="6" width="34" hidden="0" customWidth="1"/>
    <x:col min="7" max="7" width="14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16" hidden="0" customWidth="1"/>
    <x:col min="21" max="21" width="16" hidden="0" customWidth="1"/>
    <x:col min="22" max="22" width="18" hidden="0" customWidth="1"/>
    <x:col min="23" max="23" width="16" hidden="0" customWidth="1"/>
    <x:col min="24" max="24" width="18" hidden="0" customWidth="1"/>
    <x:col min="25" max="25" width="12" hidden="0" customWidth="1"/>
    <x:col min="26" max="26" width="20" hidden="0" customWidth="1"/>
    <x:col min="27" max="27" width="36" hidden="0" customWidth="1"/>
  </x:cols>
  <x:sheetData>
    <x:row r="1">
      <x:c r="A1" s="6" t="str">
        <x:v>地级市</x:v>
      </x:c>
      <x:c r="B1" s="6" t="str">
        <x:v>县/县级市</x:v>
      </x:c>
      <x:c r="C1" s="6" t="str">
        <x:v>主导产业</x:v>
      </x:c>
      <x:c r="D1" s="6" t="str">
        <x:v>研究等级</x:v>
      </x:c>
      <x:c r="E1" s="6" t="str">
        <x:v>类型</x:v>
      </x:c>
      <x:c r="F1" s="6" t="str">
        <x:v>未来增长抓手</x:v>
      </x:c>
      <x:c r="G1" s="6" t="str">
        <x:v>研究初评(0-100)</x:v>
      </x:c>
      <x:c r="H1" s="6" t="str">
        <x:v>产业集中度_研究估计</x:v>
      </x:c>
      <x:c r="I1" s="6" t="str">
        <x:v>GDP2020</x:v>
      </x:c>
      <x:c r="J1" s="6" t="str">
        <x:v>GDP2025</x:v>
      </x:c>
      <x:c r="K1" s="6" t="str">
        <x:v>GDP CAGR</x:v>
      </x:c>
      <x:c r="L1" s="6" t="str">
        <x:v>人口2020</x:v>
      </x:c>
      <x:c r="M1" s="6" t="str">
        <x:v>人口2025</x:v>
      </x:c>
      <x:c r="N1" s="6" t="str">
        <x:v>出生2020</x:v>
      </x:c>
      <x:c r="O1" s="6" t="str">
        <x:v>出生2025</x:v>
      </x:c>
      <x:c r="P1" s="6" t="str">
        <x:v>财政收入2025</x:v>
      </x:c>
      <x:c r="Q1" s="6" t="str">
        <x:v>财政支出2025</x:v>
      </x:c>
      <x:c r="R1" s="6" t="str">
        <x:v>地产销售额2025</x:v>
      </x:c>
      <x:c r="S1" s="6" t="str">
        <x:v>规上工业营收2025</x:v>
      </x:c>
      <x:c r="T1" s="6" t="str">
        <x:v>人口衰退指数</x:v>
      </x:c>
      <x:c r="U1" s="6" t="str">
        <x:v>财政依赖指数</x:v>
      </x:c>
      <x:c r="V1" s="6" t="str">
        <x:v>产业集中度_数据值</x:v>
      </x:c>
      <x:c r="W1" s="6" t="str">
        <x:v>房地产依赖度</x:v>
      </x:c>
      <x:c r="X1" s="6" t="str">
        <x:v>数据版未来增长评分</x:v>
      </x:c>
      <x:c r="Y1" s="6" t="str">
        <x:v>数据完整度</x:v>
      </x:c>
      <x:c r="Z1" s="6" t="str">
        <x:v>预警</x:v>
      </x:c>
      <x:c r="AA1" s="6" t="str">
        <x:v>来源/备注</x:v>
      </x:c>
    </x:row>
    <x:row r="2">
      <x:c r="A2" s="16" t="str">
        <x:v>南昌市</x:v>
      </x:c>
      <x:c r="B2" s="16" t="str">
        <x:v>南昌县</x:v>
      </x:c>
      <x:c r="C2" s="16" t="str">
        <x:v>汽车整车及零部件、装备、食品、生物医药、新材料</x:v>
      </x:c>
      <x:c r="D2" s="16" t="str">
        <x:v>A+</x:v>
      </x:c>
      <x:c r="E2" s="16" t="str">
        <x:v>增长型</x:v>
      </x:c>
      <x:c r="F2" s="16" t="str">
        <x:v>新能源汽车、智能制造、省会产业外溢</x:v>
      </x:c>
      <x:c r="G2" s="18" t="n">
        <x:v>94</x:v>
      </x:c>
      <x:c r="H2" s="18" t="n">
        <x:v>46</x:v>
      </x:c>
      <x:c r="I2" s="18" t="n">
        <x:f>IF(COUNTIFS('2020-2025时序'!$B$2:$B$439,$B2,'2020-2025时序'!$C$2:$C$439,2020,'2020-2025时序'!$D$2:$D$439,"&gt;0")=0,"",SUMIFS('2020-2025时序'!$D$2:$D$439,'2020-2025时序'!$B$2:$B$439,$B2,'2020-2025时序'!$C$2:$C$439,2020))</x:f>
        <x:v>1048.02</x:v>
      </x:c>
      <x:c r="J2" s="18" t="n">
        <x:f>IF(COUNTIFS('2020-2025时序'!$B$2:$B$439,$B2,'2020-2025时序'!$C$2:$C$439,2025,'2020-2025时序'!$D$2:$D$439,"&gt;0")=0,"",SUMIFS('2020-2025时序'!$D$2:$D$439,'2020-2025时序'!$B$2:$B$439,$B2,'2020-2025时序'!$C$2:$C$439,2025))</x:f>
        <x:v>1461.21</x:v>
      </x:c>
      <x:c r="K2" s="40" t="n">
        <x:f>IF(OR(I2="",J2=""),"",POWER(J2/I2,1/5)-1)</x:f>
        <x:v>0.06873150727421451</x:v>
      </x:c>
      <x:c r="L2" s="18" t="n">
        <x:f>IF(COUNTIFS('2020-2025时序'!$B$2:$B$439,$B2,'2020-2025时序'!$C$2:$C$439,2020,'2020-2025时序'!$E$2:$E$439,"&gt;0")=0,"",SUMIFS('2020-2025时序'!$E$2:$E$439,'2020-2025时序'!$B$2:$B$439,$B2,'2020-2025时序'!$C$2:$C$439,2020))</x:f>
        <x:v>145.2502</x:v>
      </x:c>
      <x:c r="M2" s="18" t="str">
        <x:f>IF(COUNTIFS('2020-2025时序'!$B$2:$B$439,$B2,'2020-2025时序'!$C$2:$C$439,2025,'2020-2025时序'!$E$2:$E$439,"&gt;0")=0,"",SUMIFS('2020-2025时序'!$E$2:$E$439,'2020-2025时序'!$B$2:$B$439,$B2,'2020-2025时序'!$C$2:$C$439,2025))</x:f>
      </x:c>
      <x:c r="N2" s="18" t="str">
        <x:f>IF(COUNTIFS('2020-2025时序'!$B$2:$B$439,$B2,'2020-2025时序'!$C$2:$C$439,2020,'2020-2025时序'!$F$2:$F$439,"&gt;0")=0,"",SUMIFS('2020-2025时序'!$F$2:$F$439,'2020-2025时序'!$B$2:$B$439,$B2,'2020-2025时序'!$C$2:$C$439,2020))</x:f>
      </x:c>
      <x:c r="O2" s="18" t="str">
        <x:f>IF(COUNTIFS('2020-2025时序'!$B$2:$B$439,$B2,'2020-2025时序'!$C$2:$C$439,2025,'2020-2025时序'!$F$2:$F$439,"&gt;0")=0,"",SUMIFS('2020-2025时序'!$F$2:$F$439,'2020-2025时序'!$B$2:$B$439,$B2,'2020-2025时序'!$C$2:$C$439,2025))</x:f>
      </x:c>
      <x:c r="P2" s="18" t="n">
        <x:f>IF(COUNTIFS('2020-2025时序'!$B$2:$B$439,$B2,'2020-2025时序'!$C$2:$C$439,2025,'2020-2025时序'!$G$2:$G$439,"&gt;0")=0,"",SUMIFS('2020-2025时序'!$G$2:$G$439,'2020-2025时序'!$B$2:$B$439,$B2,'2020-2025时序'!$C$2:$C$439,2025))</x:f>
        <x:v>92.45</x:v>
      </x:c>
      <x:c r="Q2" s="18" t="str">
        <x:f>IF(COUNTIFS('2020-2025时序'!$B$2:$B$439,$B2,'2020-2025时序'!$C$2:$C$439,2025,'2020-2025时序'!$H$2:$H$439,"&gt;0")=0,"",SUMIFS('2020-2025时序'!$H$2:$H$439,'2020-2025时序'!$B$2:$B$439,$B2,'2020-2025时序'!$C$2:$C$439,2025))</x:f>
      </x:c>
      <x:c r="R2" s="18" t="str">
        <x:f>IF(COUNTIFS('2020-2025时序'!$B$2:$B$439,$B2,'2020-2025时序'!$C$2:$C$439,2025,'2020-2025时序'!$L$2:$L$439,"&gt;0")=0,"",SUMIFS('2020-2025时序'!$L$2:$L$439,'2020-2025时序'!$B$2:$B$439,$B2,'2020-2025时序'!$C$2:$C$439,2025))</x:f>
      </x:c>
      <x:c r="S2" s="18" t="str">
        <x:f>IF(COUNTIFS('2020-2025时序'!$B$2:$B$439,$B2,'2020-2025时序'!$C$2:$C$439,2025,'2020-2025时序'!$J$2:$J$439,"&gt;0")=0,"",SUMIFS('2020-2025时序'!$J$2:$J$439,'2020-2025时序'!$B$2:$B$439,$B2,'2020-2025时序'!$C$2:$C$439,2025))</x:f>
      </x:c>
      <x:c r="T2" s="41" t="str">
        <x:f>IF(OR(L2="",M2=""),"",IF(OR(N2="",O2=""),MIN(100,MAX(0,-(M2/L2-1)/0.10*100)),0.7*MIN(100,MAX(0,-(M2/L2-1)/0.10*100))+0.3*MIN(100,MAX(0,-(O2/N2-1)/0.50*100))))</x:f>
      </x:c>
      <x:c r="U2" s="41" t="str">
        <x:f>IF(OR(P2="",Q2="",Q2=0),"",MIN(100,MAX(0,100*(1-P2/Q2))))</x:f>
      </x:c>
      <x:c r="V2" s="41" t="str">
        <x:f>IFERROR(MIN(100,100*SUMIFS('2020-2025时序'!$O$2:$O$439,'2020-2025时序'!$B$2:$B$439,$B2,'2020-2025时序'!$C$2:$C$439,2025)/SUMIFS('2020-2025时序'!$J$2:$J$439,'2020-2025时序'!$B$2:$B$439,$B2,'2020-2025时序'!$C$2:$C$439,2025)),"")</x:f>
      </x:c>
      <x:c r="W2" s="41" t="str">
        <x:f>IF(OR(R2="",J2="",J2=0),"",MIN(100,100*R2/J2))</x:f>
      </x:c>
      <x:c r="X2" s="41" t="str">
        <x:f>IF(OR(K2="",T2="",U2="",W2=""),"",0.25*MIN(100,MAX(20,20+K2/0.08*80))+0.20*(100-T2)+0.20*(100-U2)+0.15*G2+0.10*(100-W2)+0.10*G2)</x:f>
      </x:c>
      <x:c r="Y2" s="41" t="n">
        <x:f>ROUND(100*COUNT(I2:S2)/11,0)</x:f>
        <x:v>45</x:v>
      </x:c>
      <x:c r="Z2" s="16" t="str">
        <x:f>IF(AND(J2&lt;&gt;"",K2&gt;0,M2&lt;&gt;"",L2&lt;&gt;"",M2&lt;L2),"表面增长/人口收缩",IF(AND(U2&lt;&gt;"",U2&gt;=80),"财政高度依赖",IF(E2="收缩风险","结构性收缩风险",IF(H2&gt;=75,"单一产业集中风险",""))))</x:f>
      </x:c>
      <x:c r="AA2" s="16" t="str">
        <x:f>"详见“2020-2025时序”逐年来源URL；产业与抓手为研究判断"</x:f>
        <x:v>详见“2020-2025时序”逐年来源URL；产业与抓手为研究判断</x:v>
      </x:c>
    </x:row>
    <x:row r="3">
      <x:c r="A3" s="16" t="str">
        <x:v>南昌市</x:v>
      </x:c>
      <x:c r="B3" s="16" t="str">
        <x:v>安义县</x:v>
      </x:c>
      <x:c r="C3" s="16" t="str">
        <x:v>铝型材、门窗建材、绿色建材</x:v>
      </x:c>
      <x:c r="D3" s="16" t="str">
        <x:v>B</x:v>
      </x:c>
      <x:c r="E3" s="16" t="str">
        <x:v>转型型</x:v>
      </x:c>
      <x:c r="F3" s="16" t="str">
        <x:v>从地产建材转向工业、汽车、光伏型材</x:v>
      </x:c>
      <x:c r="G3" s="18" t="n">
        <x:v>68</x:v>
      </x:c>
      <x:c r="H3" s="18" t="n">
        <x:v>48</x:v>
      </x:c>
      <x:c r="I3" s="18" t="n">
        <x:f>IF(COUNTIFS('2020-2025时序'!$B$2:$B$439,$B3,'2020-2025时序'!$C$2:$C$439,2020,'2020-2025时序'!$D$2:$D$439,"&gt;0")=0,"",SUMIFS('2020-2025时序'!$D$2:$D$439,'2020-2025时序'!$B$2:$B$439,$B3,'2020-2025时序'!$C$2:$C$439,2020))</x:f>
        <x:v>109.2728</x:v>
      </x:c>
      <x:c r="J3" s="18" t="str">
        <x:f>IF(COUNTIFS('2020-2025时序'!$B$2:$B$439,$B3,'2020-2025时序'!$C$2:$C$439,2025,'2020-2025时序'!$D$2:$D$439,"&gt;0")=0,"",SUMIFS('2020-2025时序'!$D$2:$D$439,'2020-2025时序'!$B$2:$B$439,$B3,'2020-2025时序'!$C$2:$C$439,2025))</x:f>
      </x:c>
      <x:c r="K3" s="40" t="str">
        <x:f>IF(OR(I3="",J3=""),"",POWER(J3/I3,1/5)-1)</x:f>
      </x:c>
      <x:c r="L3" s="18" t="str">
        <x:f>IF(COUNTIFS('2020-2025时序'!$B$2:$B$439,$B3,'2020-2025时序'!$C$2:$C$439,2020,'2020-2025时序'!$E$2:$E$439,"&gt;0")=0,"",SUMIFS('2020-2025时序'!$E$2:$E$439,'2020-2025时序'!$B$2:$B$439,$B3,'2020-2025时序'!$C$2:$C$439,2020))</x:f>
      </x:c>
      <x:c r="M3" s="18" t="str">
        <x:f>IF(COUNTIFS('2020-2025时序'!$B$2:$B$439,$B3,'2020-2025时序'!$C$2:$C$439,2025,'2020-2025时序'!$E$2:$E$439,"&gt;0")=0,"",SUMIFS('2020-2025时序'!$E$2:$E$439,'2020-2025时序'!$B$2:$B$439,$B3,'2020-2025时序'!$C$2:$C$439,2025))</x:f>
      </x:c>
      <x:c r="N3" s="18" t="str">
        <x:f>IF(COUNTIFS('2020-2025时序'!$B$2:$B$439,$B3,'2020-2025时序'!$C$2:$C$439,2020,'2020-2025时序'!$F$2:$F$439,"&gt;0")=0,"",SUMIFS('2020-2025时序'!$F$2:$F$439,'2020-2025时序'!$B$2:$B$439,$B3,'2020-2025时序'!$C$2:$C$439,2020))</x:f>
      </x:c>
      <x:c r="O3" s="18" t="str">
        <x:f>IF(COUNTIFS('2020-2025时序'!$B$2:$B$439,$B3,'2020-2025时序'!$C$2:$C$439,2025,'2020-2025时序'!$F$2:$F$439,"&gt;0")=0,"",SUMIFS('2020-2025时序'!$F$2:$F$439,'2020-2025时序'!$B$2:$B$439,$B3,'2020-2025时序'!$C$2:$C$439,2025))</x:f>
      </x:c>
      <x:c r="P3" s="18" t="str">
        <x:f>IF(COUNTIFS('2020-2025时序'!$B$2:$B$439,$B3,'2020-2025时序'!$C$2:$C$439,2025,'2020-2025时序'!$G$2:$G$439,"&gt;0")=0,"",SUMIFS('2020-2025时序'!$G$2:$G$439,'2020-2025时序'!$B$2:$B$439,$B3,'2020-2025时序'!$C$2:$C$439,2025))</x:f>
      </x:c>
      <x:c r="Q3" s="18" t="str">
        <x:f>IF(COUNTIFS('2020-2025时序'!$B$2:$B$439,$B3,'2020-2025时序'!$C$2:$C$439,2025,'2020-2025时序'!$H$2:$H$439,"&gt;0")=0,"",SUMIFS('2020-2025时序'!$H$2:$H$439,'2020-2025时序'!$B$2:$B$439,$B3,'2020-2025时序'!$C$2:$C$439,2025))</x:f>
      </x:c>
      <x:c r="R3" s="18" t="str">
        <x:f>IF(COUNTIFS('2020-2025时序'!$B$2:$B$439,$B3,'2020-2025时序'!$C$2:$C$439,2025,'2020-2025时序'!$L$2:$L$439,"&gt;0")=0,"",SUMIFS('2020-2025时序'!$L$2:$L$439,'2020-2025时序'!$B$2:$B$439,$B3,'2020-2025时序'!$C$2:$C$439,2025))</x:f>
      </x:c>
      <x:c r="S3" s="18" t="str">
        <x:f>IF(COUNTIFS('2020-2025时序'!$B$2:$B$439,$B3,'2020-2025时序'!$C$2:$C$439,2025,'2020-2025时序'!$J$2:$J$439,"&gt;0")=0,"",SUMIFS('2020-2025时序'!$J$2:$J$439,'2020-2025时序'!$B$2:$B$439,$B3,'2020-2025时序'!$C$2:$C$439,2025))</x:f>
      </x:c>
      <x:c r="T3" s="41" t="str">
        <x:f>IF(OR(L3="",M3=""),"",IF(OR(N3="",O3=""),MIN(100,MAX(0,-(M3/L3-1)/0.10*100)),0.7*MIN(100,MAX(0,-(M3/L3-1)/0.10*100))+0.3*MIN(100,MAX(0,-(O3/N3-1)/0.50*100))))</x:f>
      </x:c>
      <x:c r="U3" s="41" t="str">
        <x:f>IF(OR(P3="",Q3="",Q3=0),"",MIN(100,MAX(0,100*(1-P3/Q3))))</x:f>
      </x:c>
      <x:c r="V3" s="41" t="str">
        <x:f>IFERROR(MIN(100,100*SUMIFS('2020-2025时序'!$O$2:$O$439,'2020-2025时序'!$B$2:$B$439,$B3,'2020-2025时序'!$C$2:$C$439,2025)/SUMIFS('2020-2025时序'!$J$2:$J$439,'2020-2025时序'!$B$2:$B$439,$B3,'2020-2025时序'!$C$2:$C$439,2025)),"")</x:f>
      </x:c>
      <x:c r="W3" s="41" t="str">
        <x:f>IF(OR(R3="",J3="",J3=0),"",MIN(100,100*R3/J3))</x:f>
      </x:c>
      <x:c r="X3" s="41" t="str">
        <x:f>IF(OR(K3="",T3="",U3="",W3=""),"",0.25*MIN(100,MAX(20,20+K3/0.08*80))+0.20*(100-T3)+0.20*(100-U3)+0.15*G3+0.10*(100-W3)+0.10*G3)</x:f>
      </x:c>
      <x:c r="Y3" s="41" t="n">
        <x:f>ROUND(100*COUNT(I3:S3)/11,0)</x:f>
        <x:v>9</x:v>
      </x:c>
      <x:c r="Z3" s="16" t="str">
        <x:f>IF(AND(J3&lt;&gt;"",K3&gt;0,M3&lt;&gt;"",L3&lt;&gt;"",M3&lt;L3),"表面增长/人口收缩",IF(AND(U3&lt;&gt;"",U3&gt;=80),"财政高度依赖",IF(E3="收缩风险","结构性收缩风险",IF(H3&gt;=75,"单一产业集中风险",""))))</x:f>
      </x:c>
      <x:c r="AA3" s="16" t="str">
        <x:f>"详见“2020-2025时序”逐年来源URL；产业与抓手为研究判断"</x:f>
        <x:v>详见“2020-2025时序”逐年来源URL；产业与抓手为研究判断</x:v>
      </x:c>
    </x:row>
    <x:row r="4">
      <x:c r="A4" s="16" t="str">
        <x:v>南昌市</x:v>
      </x:c>
      <x:c r="B4" s="16" t="str">
        <x:v>进贤县</x:v>
      </x:c>
      <x:c r="C4" s="16" t="str">
        <x:v>医疗器械、钢结构、农业、电商</x:v>
      </x:c>
      <x:c r="D4" s="16" t="str">
        <x:v>B+</x:v>
      </x:c>
      <x:c r="E4" s="16" t="str">
        <x:v>转型增长型</x:v>
      </x:c>
      <x:c r="F4" s="16" t="str">
        <x:v>高值耗材、医疗设备、IVD、医美器械</x:v>
      </x:c>
      <x:c r="G4" s="18" t="n">
        <x:v>77</x:v>
      </x:c>
      <x:c r="H4" s="18" t="n">
        <x:v>38</x:v>
      </x:c>
      <x:c r="I4" s="18" t="n">
        <x:f>IF(COUNTIFS('2020-2025时序'!$B$2:$B$439,$B4,'2020-2025时序'!$C$2:$C$439,2020,'2020-2025时序'!$D$2:$D$439,"&gt;0")=0,"",SUMIFS('2020-2025时序'!$D$2:$D$439,'2020-2025时序'!$B$2:$B$439,$B4,'2020-2025时序'!$C$2:$C$439,2020))</x:f>
        <x:v>290.1</x:v>
      </x:c>
      <x:c r="J4" s="18" t="str">
        <x:f>IF(COUNTIFS('2020-2025时序'!$B$2:$B$439,$B4,'2020-2025时序'!$C$2:$C$439,2025,'2020-2025时序'!$D$2:$D$439,"&gt;0")=0,"",SUMIFS('2020-2025时序'!$D$2:$D$439,'2020-2025时序'!$B$2:$B$439,$B4,'2020-2025时序'!$C$2:$C$439,2025))</x:f>
      </x:c>
      <x:c r="K4" s="40" t="str">
        <x:f>IF(OR(I4="",J4=""),"",POWER(J4/I4,1/5)-1)</x:f>
      </x:c>
      <x:c r="L4" s="18" t="str">
        <x:f>IF(COUNTIFS('2020-2025时序'!$B$2:$B$439,$B4,'2020-2025时序'!$C$2:$C$439,2020,'2020-2025时序'!$E$2:$E$439,"&gt;0")=0,"",SUMIFS('2020-2025时序'!$E$2:$E$439,'2020-2025时序'!$B$2:$B$439,$B4,'2020-2025时序'!$C$2:$C$439,2020))</x:f>
      </x:c>
      <x:c r="M4" s="18" t="str">
        <x:f>IF(COUNTIFS('2020-2025时序'!$B$2:$B$439,$B4,'2020-2025时序'!$C$2:$C$439,2025,'2020-2025时序'!$E$2:$E$439,"&gt;0")=0,"",SUMIFS('2020-2025时序'!$E$2:$E$439,'2020-2025时序'!$B$2:$B$439,$B4,'2020-2025时序'!$C$2:$C$439,2025))</x:f>
      </x:c>
      <x:c r="N4" s="18" t="str">
        <x:f>IF(COUNTIFS('2020-2025时序'!$B$2:$B$439,$B4,'2020-2025时序'!$C$2:$C$439,2020,'2020-2025时序'!$F$2:$F$439,"&gt;0")=0,"",SUMIFS('2020-2025时序'!$F$2:$F$439,'2020-2025时序'!$B$2:$B$439,$B4,'2020-2025时序'!$C$2:$C$439,2020))</x:f>
      </x:c>
      <x:c r="O4" s="18" t="str">
        <x:f>IF(COUNTIFS('2020-2025时序'!$B$2:$B$439,$B4,'2020-2025时序'!$C$2:$C$439,2025,'2020-2025时序'!$F$2:$F$439,"&gt;0")=0,"",SUMIFS('2020-2025时序'!$F$2:$F$439,'2020-2025时序'!$B$2:$B$439,$B4,'2020-2025时序'!$C$2:$C$439,2025))</x:f>
      </x:c>
      <x:c r="P4" s="18" t="str">
        <x:f>IF(COUNTIFS('2020-2025时序'!$B$2:$B$439,$B4,'2020-2025时序'!$C$2:$C$439,2025,'2020-2025时序'!$G$2:$G$439,"&gt;0")=0,"",SUMIFS('2020-2025时序'!$G$2:$G$439,'2020-2025时序'!$B$2:$B$439,$B4,'2020-2025时序'!$C$2:$C$439,2025))</x:f>
      </x:c>
      <x:c r="Q4" s="18" t="str">
        <x:f>IF(COUNTIFS('2020-2025时序'!$B$2:$B$439,$B4,'2020-2025时序'!$C$2:$C$439,2025,'2020-2025时序'!$H$2:$H$439,"&gt;0")=0,"",SUMIFS('2020-2025时序'!$H$2:$H$439,'2020-2025时序'!$B$2:$B$439,$B4,'2020-2025时序'!$C$2:$C$439,2025))</x:f>
      </x:c>
      <x:c r="R4" s="18" t="str">
        <x:f>IF(COUNTIFS('2020-2025时序'!$B$2:$B$439,$B4,'2020-2025时序'!$C$2:$C$439,2025,'2020-2025时序'!$L$2:$L$439,"&gt;0")=0,"",SUMIFS('2020-2025时序'!$L$2:$L$439,'2020-2025时序'!$B$2:$B$439,$B4,'2020-2025时序'!$C$2:$C$439,2025))</x:f>
      </x:c>
      <x:c r="S4" s="18" t="str">
        <x:f>IF(COUNTIFS('2020-2025时序'!$B$2:$B$439,$B4,'2020-2025时序'!$C$2:$C$439,2025,'2020-2025时序'!$J$2:$J$439,"&gt;0")=0,"",SUMIFS('2020-2025时序'!$J$2:$J$439,'2020-2025时序'!$B$2:$B$439,$B4,'2020-2025时序'!$C$2:$C$439,2025))</x:f>
      </x:c>
      <x:c r="T4" s="41" t="str">
        <x:f>IF(OR(L4="",M4=""),"",IF(OR(N4="",O4=""),MIN(100,MAX(0,-(M4/L4-1)/0.10*100)),0.7*MIN(100,MAX(0,-(M4/L4-1)/0.10*100))+0.3*MIN(100,MAX(0,-(O4/N4-1)/0.50*100))))</x:f>
      </x:c>
      <x:c r="U4" s="41" t="str">
        <x:f>IF(OR(P4="",Q4="",Q4=0),"",MIN(100,MAX(0,100*(1-P4/Q4))))</x:f>
      </x:c>
      <x:c r="V4" s="41" t="str">
        <x:f>IFERROR(MIN(100,100*SUMIFS('2020-2025时序'!$O$2:$O$439,'2020-2025时序'!$B$2:$B$439,$B4,'2020-2025时序'!$C$2:$C$439,2025)/SUMIFS('2020-2025时序'!$J$2:$J$439,'2020-2025时序'!$B$2:$B$439,$B4,'2020-2025时序'!$C$2:$C$439,2025)),"")</x:f>
      </x:c>
      <x:c r="W4" s="41" t="str">
        <x:f>IF(OR(R4="",J4="",J4=0),"",MIN(100,100*R4/J4))</x:f>
      </x:c>
      <x:c r="X4" s="41" t="str">
        <x:f>IF(OR(K4="",T4="",U4="",W4=""),"",0.25*MIN(100,MAX(20,20+K4/0.08*80))+0.20*(100-T4)+0.20*(100-U4)+0.15*G4+0.10*(100-W4)+0.10*G4)</x:f>
      </x:c>
      <x:c r="Y4" s="41" t="n">
        <x:f>ROUND(100*COUNT(I4:S4)/11,0)</x:f>
        <x:v>9</x:v>
      </x:c>
      <x:c r="Z4" s="16" t="str">
        <x:f>IF(AND(J4&lt;&gt;"",K4&gt;0,M4&lt;&gt;"",L4&lt;&gt;"",M4&lt;L4),"表面增长/人口收缩",IF(AND(U4&lt;&gt;"",U4&gt;=80),"财政高度依赖",IF(E4="收缩风险","结构性收缩风险",IF(H4&gt;=75,"单一产业集中风险",""))))</x:f>
      </x:c>
      <x:c r="AA4" s="16" t="str">
        <x:f>"详见“2020-2025时序”逐年来源URL；产业与抓手为研究判断"</x:f>
        <x:v>详见“2020-2025时序”逐年来源URL；产业与抓手为研究判断</x:v>
      </x:c>
    </x:row>
    <x:row r="5">
      <x:c r="A5" s="16" t="str">
        <x:v>景德镇市</x:v>
      </x:c>
      <x:c r="B5" s="16" t="str">
        <x:v>浮梁县</x:v>
      </x:c>
      <x:c r="C5" s="16" t="str">
        <x:v>茶、陶瓷配套、生态文旅、现代农业</x:v>
      </x:c>
      <x:c r="D5" s="16" t="str">
        <x:v>C+</x:v>
      </x:c>
      <x:c r="E5" s="16" t="str">
        <x:v>承压型</x:v>
      </x:c>
      <x:c r="F5" s="16" t="str">
        <x:v>景德镇文旅外溢、茶品牌、高附加值陶瓷</x:v>
      </x:c>
      <x:c r="G5" s="18" t="n">
        <x:v>58</x:v>
      </x:c>
      <x:c r="H5" s="18" t="n">
        <x:v>38</x:v>
      </x:c>
      <x:c r="I5" s="18" t="n">
        <x:f>IF(COUNTIFS('2020-2025时序'!$B$2:$B$439,$B5,'2020-2025时序'!$C$2:$C$439,2020,'2020-2025时序'!$D$2:$D$439,"&gt;0")=0,"",SUMIFS('2020-2025时序'!$D$2:$D$439,'2020-2025时序'!$B$2:$B$439,$B5,'2020-2025时序'!$C$2:$C$439,2020))</x:f>
        <x:v>141.8716</x:v>
      </x:c>
      <x:c r="J5" s="18" t="str">
        <x:f>IF(COUNTIFS('2020-2025时序'!$B$2:$B$439,$B5,'2020-2025时序'!$C$2:$C$439,2025,'2020-2025时序'!$D$2:$D$439,"&gt;0")=0,"",SUMIFS('2020-2025时序'!$D$2:$D$439,'2020-2025时序'!$B$2:$B$439,$B5,'2020-2025时序'!$C$2:$C$439,2025))</x:f>
      </x:c>
      <x:c r="K5" s="40" t="str">
        <x:f>IF(OR(I5="",J5=""),"",POWER(J5/I5,1/5)-1)</x:f>
      </x:c>
      <x:c r="L5" s="18" t="str">
        <x:f>IF(COUNTIFS('2020-2025时序'!$B$2:$B$439,$B5,'2020-2025时序'!$C$2:$C$439,2020,'2020-2025时序'!$E$2:$E$439,"&gt;0")=0,"",SUMIFS('2020-2025时序'!$E$2:$E$439,'2020-2025时序'!$B$2:$B$439,$B5,'2020-2025时序'!$C$2:$C$439,2020))</x:f>
      </x:c>
      <x:c r="M5" s="18" t="str">
        <x:f>IF(COUNTIFS('2020-2025时序'!$B$2:$B$439,$B5,'2020-2025时序'!$C$2:$C$439,2025,'2020-2025时序'!$E$2:$E$439,"&gt;0")=0,"",SUMIFS('2020-2025时序'!$E$2:$E$439,'2020-2025时序'!$B$2:$B$439,$B5,'2020-2025时序'!$C$2:$C$439,2025))</x:f>
      </x:c>
      <x:c r="N5" s="18" t="str">
        <x:f>IF(COUNTIFS('2020-2025时序'!$B$2:$B$439,$B5,'2020-2025时序'!$C$2:$C$439,2020,'2020-2025时序'!$F$2:$F$439,"&gt;0")=0,"",SUMIFS('2020-2025时序'!$F$2:$F$439,'2020-2025时序'!$B$2:$B$439,$B5,'2020-2025时序'!$C$2:$C$439,2020))</x:f>
      </x:c>
      <x:c r="O5" s="18" t="str">
        <x:f>IF(COUNTIFS('2020-2025时序'!$B$2:$B$439,$B5,'2020-2025时序'!$C$2:$C$439,2025,'2020-2025时序'!$F$2:$F$439,"&gt;0")=0,"",SUMIFS('2020-2025时序'!$F$2:$F$439,'2020-2025时序'!$B$2:$B$439,$B5,'2020-2025时序'!$C$2:$C$439,2025))</x:f>
      </x:c>
      <x:c r="P5" s="18" t="str">
        <x:f>IF(COUNTIFS('2020-2025时序'!$B$2:$B$439,$B5,'2020-2025时序'!$C$2:$C$439,2025,'2020-2025时序'!$G$2:$G$439,"&gt;0")=0,"",SUMIFS('2020-2025时序'!$G$2:$G$439,'2020-2025时序'!$B$2:$B$439,$B5,'2020-2025时序'!$C$2:$C$439,2025))</x:f>
      </x:c>
      <x:c r="Q5" s="18" t="str">
        <x:f>IF(COUNTIFS('2020-2025时序'!$B$2:$B$439,$B5,'2020-2025时序'!$C$2:$C$439,2025,'2020-2025时序'!$H$2:$H$439,"&gt;0")=0,"",SUMIFS('2020-2025时序'!$H$2:$H$439,'2020-2025时序'!$B$2:$B$439,$B5,'2020-2025时序'!$C$2:$C$439,2025))</x:f>
      </x:c>
      <x:c r="R5" s="18" t="str">
        <x:f>IF(COUNTIFS('2020-2025时序'!$B$2:$B$439,$B5,'2020-2025时序'!$C$2:$C$439,2025,'2020-2025时序'!$L$2:$L$439,"&gt;0")=0,"",SUMIFS('2020-2025时序'!$L$2:$L$439,'2020-2025时序'!$B$2:$B$439,$B5,'2020-2025时序'!$C$2:$C$439,2025))</x:f>
      </x:c>
      <x:c r="S5" s="18" t="str">
        <x:f>IF(COUNTIFS('2020-2025时序'!$B$2:$B$439,$B5,'2020-2025时序'!$C$2:$C$439,2025,'2020-2025时序'!$J$2:$J$439,"&gt;0")=0,"",SUMIFS('2020-2025时序'!$J$2:$J$439,'2020-2025时序'!$B$2:$B$439,$B5,'2020-2025时序'!$C$2:$C$439,2025))</x:f>
      </x:c>
      <x:c r="T5" s="41" t="str">
        <x:f>IF(OR(L5="",M5=""),"",IF(OR(N5="",O5=""),MIN(100,MAX(0,-(M5/L5-1)/0.10*100)),0.7*MIN(100,MAX(0,-(M5/L5-1)/0.10*100))+0.3*MIN(100,MAX(0,-(O5/N5-1)/0.50*100))))</x:f>
      </x:c>
      <x:c r="U5" s="41" t="str">
        <x:f>IF(OR(P5="",Q5="",Q5=0),"",MIN(100,MAX(0,100*(1-P5/Q5))))</x:f>
      </x:c>
      <x:c r="V5" s="41" t="str">
        <x:f>IFERROR(MIN(100,100*SUMIFS('2020-2025时序'!$O$2:$O$439,'2020-2025时序'!$B$2:$B$439,$B5,'2020-2025时序'!$C$2:$C$439,2025)/SUMIFS('2020-2025时序'!$J$2:$J$439,'2020-2025时序'!$B$2:$B$439,$B5,'2020-2025时序'!$C$2:$C$439,2025)),"")</x:f>
      </x:c>
      <x:c r="W5" s="41" t="str">
        <x:f>IF(OR(R5="",J5="",J5=0),"",MIN(100,100*R5/J5))</x:f>
      </x:c>
      <x:c r="X5" s="41" t="str">
        <x:f>IF(OR(K5="",T5="",U5="",W5=""),"",0.25*MIN(100,MAX(20,20+K5/0.08*80))+0.20*(100-T5)+0.20*(100-U5)+0.15*G5+0.10*(100-W5)+0.10*G5)</x:f>
      </x:c>
      <x:c r="Y5" s="41" t="n">
        <x:f>ROUND(100*COUNT(I5:S5)/11,0)</x:f>
        <x:v>9</x:v>
      </x:c>
      <x:c r="Z5" s="16" t="str">
        <x:f>IF(AND(J5&lt;&gt;"",K5&gt;0,M5&lt;&gt;"",L5&lt;&gt;"",M5&lt;L5),"表面增长/人口收缩",IF(AND(U5&lt;&gt;"",U5&gt;=80),"财政高度依赖",IF(E5="收缩风险","结构性收缩风险",IF(H5&gt;=75,"单一产业集中风险",""))))</x:f>
      </x:c>
      <x:c r="AA5" s="16" t="str">
        <x:f>"详见“2020-2025时序”逐年来源URL；产业与抓手为研究判断"</x:f>
        <x:v>详见“2020-2025时序”逐年来源URL；产业与抓手为研究判断</x:v>
      </x:c>
    </x:row>
    <x:row r="6">
      <x:c r="A6" s="16" t="str">
        <x:v>景德镇市</x:v>
      </x:c>
      <x:c r="B6" s="16" t="str">
        <x:v>乐平市</x:v>
      </x:c>
      <x:c r="C6" s="16" t="str">
        <x:v>精细化工、陶瓷、农业、食品</x:v>
      </x:c>
      <x:c r="D6" s="16" t="str">
        <x:v>B</x:v>
      </x:c>
      <x:c r="E6" s="16" t="str">
        <x:v>转型型</x:v>
      </x:c>
      <x:c r="F6" s="16" t="str">
        <x:v>化工新材料化、园区升级</x:v>
      </x:c>
      <x:c r="G6" s="18" t="n">
        <x:v>68</x:v>
      </x:c>
      <x:c r="H6" s="18" t="n">
        <x:v>38</x:v>
      </x:c>
      <x:c r="I6" s="18" t="n">
        <x:f>IF(COUNTIFS('2020-2025时序'!$B$2:$B$439,$B6,'2020-2025时序'!$C$2:$C$439,2020,'2020-2025时序'!$D$2:$D$439,"&gt;0")=0,"",SUMIFS('2020-2025时序'!$D$2:$D$439,'2020-2025时序'!$B$2:$B$439,$B6,'2020-2025时序'!$C$2:$C$439,2020))</x:f>
        <x:v>353.3</x:v>
      </x:c>
      <x:c r="J6" s="18" t="str">
        <x:f>IF(COUNTIFS('2020-2025时序'!$B$2:$B$439,$B6,'2020-2025时序'!$C$2:$C$439,2025,'2020-2025时序'!$D$2:$D$439,"&gt;0")=0,"",SUMIFS('2020-2025时序'!$D$2:$D$439,'2020-2025时序'!$B$2:$B$439,$B6,'2020-2025时序'!$C$2:$C$439,2025))</x:f>
      </x:c>
      <x:c r="K6" s="40" t="str">
        <x:f>IF(OR(I6="",J6=""),"",POWER(J6/I6,1/5)-1)</x:f>
      </x:c>
      <x:c r="L6" s="18" t="str">
        <x:f>IF(COUNTIFS('2020-2025时序'!$B$2:$B$439,$B6,'2020-2025时序'!$C$2:$C$439,2020,'2020-2025时序'!$E$2:$E$439,"&gt;0")=0,"",SUMIFS('2020-2025时序'!$E$2:$E$439,'2020-2025时序'!$B$2:$B$439,$B6,'2020-2025时序'!$C$2:$C$439,2020))</x:f>
      </x:c>
      <x:c r="M6" s="18" t="str">
        <x:f>IF(COUNTIFS('2020-2025时序'!$B$2:$B$439,$B6,'2020-2025时序'!$C$2:$C$439,2025,'2020-2025时序'!$E$2:$E$439,"&gt;0")=0,"",SUMIFS('2020-2025时序'!$E$2:$E$439,'2020-2025时序'!$B$2:$B$439,$B6,'2020-2025时序'!$C$2:$C$439,2025))</x:f>
      </x:c>
      <x:c r="N6" s="18" t="str">
        <x:f>IF(COUNTIFS('2020-2025时序'!$B$2:$B$439,$B6,'2020-2025时序'!$C$2:$C$439,2020,'2020-2025时序'!$F$2:$F$439,"&gt;0")=0,"",SUMIFS('2020-2025时序'!$F$2:$F$439,'2020-2025时序'!$B$2:$B$439,$B6,'2020-2025时序'!$C$2:$C$439,2020))</x:f>
      </x:c>
      <x:c r="O6" s="18" t="str">
        <x:f>IF(COUNTIFS('2020-2025时序'!$B$2:$B$439,$B6,'2020-2025时序'!$C$2:$C$439,2025,'2020-2025时序'!$F$2:$F$439,"&gt;0")=0,"",SUMIFS('2020-2025时序'!$F$2:$F$439,'2020-2025时序'!$B$2:$B$439,$B6,'2020-2025时序'!$C$2:$C$439,2025))</x:f>
      </x:c>
      <x:c r="P6" s="18" t="str">
        <x:f>IF(COUNTIFS('2020-2025时序'!$B$2:$B$439,$B6,'2020-2025时序'!$C$2:$C$439,2025,'2020-2025时序'!$G$2:$G$439,"&gt;0")=0,"",SUMIFS('2020-2025时序'!$G$2:$G$439,'2020-2025时序'!$B$2:$B$439,$B6,'2020-2025时序'!$C$2:$C$439,2025))</x:f>
      </x:c>
      <x:c r="Q6" s="18" t="str">
        <x:f>IF(COUNTIFS('2020-2025时序'!$B$2:$B$439,$B6,'2020-2025时序'!$C$2:$C$439,2025,'2020-2025时序'!$H$2:$H$439,"&gt;0")=0,"",SUMIFS('2020-2025时序'!$H$2:$H$439,'2020-2025时序'!$B$2:$B$439,$B6,'2020-2025时序'!$C$2:$C$439,2025))</x:f>
      </x:c>
      <x:c r="R6" s="18" t="str">
        <x:f>IF(COUNTIFS('2020-2025时序'!$B$2:$B$439,$B6,'2020-2025时序'!$C$2:$C$439,2025,'2020-2025时序'!$L$2:$L$439,"&gt;0")=0,"",SUMIFS('2020-2025时序'!$L$2:$L$439,'2020-2025时序'!$B$2:$B$439,$B6,'2020-2025时序'!$C$2:$C$439,2025))</x:f>
      </x:c>
      <x:c r="S6" s="18" t="str">
        <x:f>IF(COUNTIFS('2020-2025时序'!$B$2:$B$439,$B6,'2020-2025时序'!$C$2:$C$439,2025,'2020-2025时序'!$J$2:$J$439,"&gt;0")=0,"",SUMIFS('2020-2025时序'!$J$2:$J$439,'2020-2025时序'!$B$2:$B$439,$B6,'2020-2025时序'!$C$2:$C$439,2025))</x:f>
      </x:c>
      <x:c r="T6" s="41" t="str">
        <x:f>IF(OR(L6="",M6=""),"",IF(OR(N6="",O6=""),MIN(100,MAX(0,-(M6/L6-1)/0.10*100)),0.7*MIN(100,MAX(0,-(M6/L6-1)/0.10*100))+0.3*MIN(100,MAX(0,-(O6/N6-1)/0.50*100))))</x:f>
      </x:c>
      <x:c r="U6" s="41" t="str">
        <x:f>IF(OR(P6="",Q6="",Q6=0),"",MIN(100,MAX(0,100*(1-P6/Q6))))</x:f>
      </x:c>
      <x:c r="V6" s="41" t="str">
        <x:f>IFERROR(MIN(100,100*SUMIFS('2020-2025时序'!$O$2:$O$439,'2020-2025时序'!$B$2:$B$439,$B6,'2020-2025时序'!$C$2:$C$439,2025)/SUMIFS('2020-2025时序'!$J$2:$J$439,'2020-2025时序'!$B$2:$B$439,$B6,'2020-2025时序'!$C$2:$C$439,2025)),"")</x:f>
      </x:c>
      <x:c r="W6" s="41" t="str">
        <x:f>IF(OR(R6="",J6="",J6=0),"",MIN(100,100*R6/J6))</x:f>
      </x:c>
      <x:c r="X6" s="41" t="str">
        <x:f>IF(OR(K6="",T6="",U6="",W6=""),"",0.25*MIN(100,MAX(20,20+K6/0.08*80))+0.20*(100-T6)+0.20*(100-U6)+0.15*G6+0.10*(100-W6)+0.10*G6)</x:f>
      </x:c>
      <x:c r="Y6" s="41" t="n">
        <x:f>ROUND(100*COUNT(I6:S6)/11,0)</x:f>
        <x:v>9</x:v>
      </x:c>
      <x:c r="Z6" s="16" t="str">
        <x:f>IF(AND(J6&lt;&gt;"",K6&gt;0,M6&lt;&gt;"",L6&lt;&gt;"",M6&lt;L6),"表面增长/人口收缩",IF(AND(U6&lt;&gt;"",U6&gt;=80),"财政高度依赖",IF(E6="收缩风险","结构性收缩风险",IF(H6&gt;=75,"单一产业集中风险",""))))</x:f>
      </x:c>
      <x:c r="AA6" s="16" t="str">
        <x:f>"详见“2020-2025时序”逐年来源URL；产业与抓手为研究判断"</x:f>
        <x:v>详见“2020-2025时序”逐年来源URL；产业与抓手为研究判断</x:v>
      </x:c>
    </x:row>
    <x:row r="7">
      <x:c r="A7" s="16" t="str">
        <x:v>萍乡市</x:v>
      </x:c>
      <x:c r="B7" s="16" t="str">
        <x:v>莲花县</x:v>
      </x:c>
      <x:c r="C7" s="16" t="str">
        <x:v>食品农业、绿色产业、承接型制造</x:v>
      </x:c>
      <x:c r="D7" s="16" t="str">
        <x:v>C/D</x:v>
      </x:c>
      <x:c r="E7" s="16" t="str">
        <x:v>收缩风险</x:v>
      </x:c>
      <x:c r="F7" s="16" t="str">
        <x:v>农产品深加工、对接赣湘产业转移</x:v>
      </x:c>
      <x:c r="G7" s="18" t="n">
        <x:v>44</x:v>
      </x:c>
      <x:c r="H7" s="18" t="n">
        <x:v>48</x:v>
      </x:c>
      <x:c r="I7" s="18" t="str">
        <x:f>IF(COUNTIFS('2020-2025时序'!$B$2:$B$439,$B7,'2020-2025时序'!$C$2:$C$439,2020,'2020-2025时序'!$D$2:$D$439,"&gt;0")=0,"",SUMIFS('2020-2025时序'!$D$2:$D$439,'2020-2025时序'!$B$2:$B$439,$B7,'2020-2025时序'!$C$2:$C$439,2020))</x:f>
      </x:c>
      <x:c r="J7" s="18" t="str">
        <x:f>IF(COUNTIFS('2020-2025时序'!$B$2:$B$439,$B7,'2020-2025时序'!$C$2:$C$439,2025,'2020-2025时序'!$D$2:$D$439,"&gt;0")=0,"",SUMIFS('2020-2025时序'!$D$2:$D$439,'2020-2025时序'!$B$2:$B$439,$B7,'2020-2025时序'!$C$2:$C$439,2025))</x:f>
      </x:c>
      <x:c r="K7" s="40" t="str">
        <x:f>IF(OR(I7="",J7=""),"",POWER(J7/I7,1/5)-1)</x:f>
      </x:c>
      <x:c r="L7" s="18" t="str">
        <x:f>IF(COUNTIFS('2020-2025时序'!$B$2:$B$439,$B7,'2020-2025时序'!$C$2:$C$439,2020,'2020-2025时序'!$E$2:$E$439,"&gt;0")=0,"",SUMIFS('2020-2025时序'!$E$2:$E$439,'2020-2025时序'!$B$2:$B$439,$B7,'2020-2025时序'!$C$2:$C$439,2020))</x:f>
      </x:c>
      <x:c r="M7" s="18" t="str">
        <x:f>IF(COUNTIFS('2020-2025时序'!$B$2:$B$439,$B7,'2020-2025时序'!$C$2:$C$439,2025,'2020-2025时序'!$E$2:$E$439,"&gt;0")=0,"",SUMIFS('2020-2025时序'!$E$2:$E$439,'2020-2025时序'!$B$2:$B$439,$B7,'2020-2025时序'!$C$2:$C$439,2025))</x:f>
      </x:c>
      <x:c r="N7" s="18" t="str">
        <x:f>IF(COUNTIFS('2020-2025时序'!$B$2:$B$439,$B7,'2020-2025时序'!$C$2:$C$439,2020,'2020-2025时序'!$F$2:$F$439,"&gt;0")=0,"",SUMIFS('2020-2025时序'!$F$2:$F$439,'2020-2025时序'!$B$2:$B$439,$B7,'2020-2025时序'!$C$2:$C$439,2020))</x:f>
      </x:c>
      <x:c r="O7" s="18" t="str">
        <x:f>IF(COUNTIFS('2020-2025时序'!$B$2:$B$439,$B7,'2020-2025时序'!$C$2:$C$439,2025,'2020-2025时序'!$F$2:$F$439,"&gt;0")=0,"",SUMIFS('2020-2025时序'!$F$2:$F$439,'2020-2025时序'!$B$2:$B$439,$B7,'2020-2025时序'!$C$2:$C$439,2025))</x:f>
      </x:c>
      <x:c r="P7" s="18" t="str">
        <x:f>IF(COUNTIFS('2020-2025时序'!$B$2:$B$439,$B7,'2020-2025时序'!$C$2:$C$439,2025,'2020-2025时序'!$G$2:$G$439,"&gt;0")=0,"",SUMIFS('2020-2025时序'!$G$2:$G$439,'2020-2025时序'!$B$2:$B$439,$B7,'2020-2025时序'!$C$2:$C$439,2025))</x:f>
      </x:c>
      <x:c r="Q7" s="18" t="str">
        <x:f>IF(COUNTIFS('2020-2025时序'!$B$2:$B$439,$B7,'2020-2025时序'!$C$2:$C$439,2025,'2020-2025时序'!$H$2:$H$439,"&gt;0")=0,"",SUMIFS('2020-2025时序'!$H$2:$H$439,'2020-2025时序'!$B$2:$B$439,$B7,'2020-2025时序'!$C$2:$C$439,2025))</x:f>
      </x:c>
      <x:c r="R7" s="18" t="str">
        <x:f>IF(COUNTIFS('2020-2025时序'!$B$2:$B$439,$B7,'2020-2025时序'!$C$2:$C$439,2025,'2020-2025时序'!$L$2:$L$439,"&gt;0")=0,"",SUMIFS('2020-2025时序'!$L$2:$L$439,'2020-2025时序'!$B$2:$B$439,$B7,'2020-2025时序'!$C$2:$C$439,2025))</x:f>
      </x:c>
      <x:c r="S7" s="18" t="str">
        <x:f>IF(COUNTIFS('2020-2025时序'!$B$2:$B$439,$B7,'2020-2025时序'!$C$2:$C$439,2025,'2020-2025时序'!$J$2:$J$439,"&gt;0")=0,"",SUMIFS('2020-2025时序'!$J$2:$J$439,'2020-2025时序'!$B$2:$B$439,$B7,'2020-2025时序'!$C$2:$C$439,2025))</x:f>
      </x:c>
      <x:c r="T7" s="41" t="str">
        <x:f>IF(OR(L7="",M7=""),"",IF(OR(N7="",O7=""),MIN(100,MAX(0,-(M7/L7-1)/0.10*100)),0.7*MIN(100,MAX(0,-(M7/L7-1)/0.10*100))+0.3*MIN(100,MAX(0,-(O7/N7-1)/0.50*100))))</x:f>
      </x:c>
      <x:c r="U7" s="41" t="str">
        <x:f>IF(OR(P7="",Q7="",Q7=0),"",MIN(100,MAX(0,100*(1-P7/Q7))))</x:f>
      </x:c>
      <x:c r="V7" s="41" t="str">
        <x:f>IFERROR(MIN(100,100*SUMIFS('2020-2025时序'!$O$2:$O$439,'2020-2025时序'!$B$2:$B$439,$B7,'2020-2025时序'!$C$2:$C$439,2025)/SUMIFS('2020-2025时序'!$J$2:$J$439,'2020-2025时序'!$B$2:$B$439,$B7,'2020-2025时序'!$C$2:$C$439,2025)),"")</x:f>
      </x:c>
      <x:c r="W7" s="41" t="str">
        <x:f>IF(OR(R7="",J7="",J7=0),"",MIN(100,100*R7/J7))</x:f>
      </x:c>
      <x:c r="X7" s="41" t="str">
        <x:f>IF(OR(K7="",T7="",U7="",W7=""),"",0.25*MIN(100,MAX(20,20+K7/0.08*80))+0.20*(100-T7)+0.20*(100-U7)+0.15*G7+0.10*(100-W7)+0.10*G7)</x:f>
      </x:c>
      <x:c r="Y7" s="41" t="n">
        <x:f>ROUND(100*COUNT(I7:S7)/11,0)</x:f>
        <x:v>0</x:v>
      </x:c>
      <x:c r="Z7" s="16" t="str">
        <x:f>IF(AND(J7&lt;&gt;"",K7&gt;0,M7&lt;&gt;"",L7&lt;&gt;"",M7&lt;L7),"表面增长/人口收缩",IF(AND(U7&lt;&gt;"",U7&gt;=80),"财政高度依赖",IF(E7="收缩风险","结构性收缩风险",IF(H7&gt;=75,"单一产业集中风险",""))))</x:f>
        <x:v>结构性收缩风险</x:v>
      </x:c>
      <x:c r="AA7" s="16" t="str">
        <x:f>"详见“2020-2025时序”逐年来源URL；产业与抓手为研究判断"</x:f>
        <x:v>详见“2020-2025时序”逐年来源URL；产业与抓手为研究判断</x:v>
      </x:c>
    </x:row>
    <x:row r="8">
      <x:c r="A8" s="16" t="str">
        <x:v>萍乡市</x:v>
      </x:c>
      <x:c r="B8" s="16" t="str">
        <x:v>上栗县</x:v>
      </x:c>
      <x:c r="C8" s="16" t="str">
        <x:v>花炮、机械/电子配套、农业</x:v>
      </x:c>
      <x:c r="D8" s="16" t="str">
        <x:v>B-/C+</x:v>
      </x:c>
      <x:c r="E8" s="16" t="str">
        <x:v>承压型</x:v>
      </x:c>
      <x:c r="F8" s="16" t="str">
        <x:v>花炮安全化品牌化、发展非花炮制造</x:v>
      </x:c>
      <x:c r="G8" s="18" t="n">
        <x:v>62</x:v>
      </x:c>
      <x:c r="H8" s="18" t="n">
        <x:v>76</x:v>
      </x:c>
      <x:c r="I8" s="18" t="str">
        <x:f>IF(COUNTIFS('2020-2025时序'!$B$2:$B$439,$B8,'2020-2025时序'!$C$2:$C$439,2020,'2020-2025时序'!$D$2:$D$439,"&gt;0")=0,"",SUMIFS('2020-2025时序'!$D$2:$D$439,'2020-2025时序'!$B$2:$B$439,$B8,'2020-2025时序'!$C$2:$C$439,2020))</x:f>
      </x:c>
      <x:c r="J8" s="18" t="str">
        <x:f>IF(COUNTIFS('2020-2025时序'!$B$2:$B$439,$B8,'2020-2025时序'!$C$2:$C$439,2025,'2020-2025时序'!$D$2:$D$439,"&gt;0")=0,"",SUMIFS('2020-2025时序'!$D$2:$D$439,'2020-2025时序'!$B$2:$B$439,$B8,'2020-2025时序'!$C$2:$C$439,2025))</x:f>
      </x:c>
      <x:c r="K8" s="40" t="str">
        <x:f>IF(OR(I8="",J8=""),"",POWER(J8/I8,1/5)-1)</x:f>
      </x:c>
      <x:c r="L8" s="18" t="str">
        <x:f>IF(COUNTIFS('2020-2025时序'!$B$2:$B$439,$B8,'2020-2025时序'!$C$2:$C$439,2020,'2020-2025时序'!$E$2:$E$439,"&gt;0")=0,"",SUMIFS('2020-2025时序'!$E$2:$E$439,'2020-2025时序'!$B$2:$B$439,$B8,'2020-2025时序'!$C$2:$C$439,2020))</x:f>
      </x:c>
      <x:c r="M8" s="18" t="str">
        <x:f>IF(COUNTIFS('2020-2025时序'!$B$2:$B$439,$B8,'2020-2025时序'!$C$2:$C$439,2025,'2020-2025时序'!$E$2:$E$439,"&gt;0")=0,"",SUMIFS('2020-2025时序'!$E$2:$E$439,'2020-2025时序'!$B$2:$B$439,$B8,'2020-2025时序'!$C$2:$C$439,2025))</x:f>
      </x:c>
      <x:c r="N8" s="18" t="str">
        <x:f>IF(COUNTIFS('2020-2025时序'!$B$2:$B$439,$B8,'2020-2025时序'!$C$2:$C$439,2020,'2020-2025时序'!$F$2:$F$439,"&gt;0")=0,"",SUMIFS('2020-2025时序'!$F$2:$F$439,'2020-2025时序'!$B$2:$B$439,$B8,'2020-2025时序'!$C$2:$C$439,2020))</x:f>
      </x:c>
      <x:c r="O8" s="18" t="str">
        <x:f>IF(COUNTIFS('2020-2025时序'!$B$2:$B$439,$B8,'2020-2025时序'!$C$2:$C$439,2025,'2020-2025时序'!$F$2:$F$439,"&gt;0")=0,"",SUMIFS('2020-2025时序'!$F$2:$F$439,'2020-2025时序'!$B$2:$B$439,$B8,'2020-2025时序'!$C$2:$C$439,2025))</x:f>
      </x:c>
      <x:c r="P8" s="18" t="str">
        <x:f>IF(COUNTIFS('2020-2025时序'!$B$2:$B$439,$B8,'2020-2025时序'!$C$2:$C$439,2025,'2020-2025时序'!$G$2:$G$439,"&gt;0")=0,"",SUMIFS('2020-2025时序'!$G$2:$G$439,'2020-2025时序'!$B$2:$B$439,$B8,'2020-2025时序'!$C$2:$C$439,2025))</x:f>
      </x:c>
      <x:c r="Q8" s="18" t="str">
        <x:f>IF(COUNTIFS('2020-2025时序'!$B$2:$B$439,$B8,'2020-2025时序'!$C$2:$C$439,2025,'2020-2025时序'!$H$2:$H$439,"&gt;0")=0,"",SUMIFS('2020-2025时序'!$H$2:$H$439,'2020-2025时序'!$B$2:$B$439,$B8,'2020-2025时序'!$C$2:$C$439,2025))</x:f>
      </x:c>
      <x:c r="R8" s="18" t="str">
        <x:f>IF(COUNTIFS('2020-2025时序'!$B$2:$B$439,$B8,'2020-2025时序'!$C$2:$C$439,2025,'2020-2025时序'!$L$2:$L$439,"&gt;0")=0,"",SUMIFS('2020-2025时序'!$L$2:$L$439,'2020-2025时序'!$B$2:$B$439,$B8,'2020-2025时序'!$C$2:$C$439,2025))</x:f>
      </x:c>
      <x:c r="S8" s="18" t="str">
        <x:f>IF(COUNTIFS('2020-2025时序'!$B$2:$B$439,$B8,'2020-2025时序'!$C$2:$C$439,2025,'2020-2025时序'!$J$2:$J$439,"&gt;0")=0,"",SUMIFS('2020-2025时序'!$J$2:$J$439,'2020-2025时序'!$B$2:$B$439,$B8,'2020-2025时序'!$C$2:$C$439,2025))</x:f>
      </x:c>
      <x:c r="T8" s="41" t="str">
        <x:f>IF(OR(L8="",M8=""),"",IF(OR(N8="",O8=""),MIN(100,MAX(0,-(M8/L8-1)/0.10*100)),0.7*MIN(100,MAX(0,-(M8/L8-1)/0.10*100))+0.3*MIN(100,MAX(0,-(O8/N8-1)/0.50*100))))</x:f>
      </x:c>
      <x:c r="U8" s="41" t="str">
        <x:f>IF(OR(P8="",Q8="",Q8=0),"",MIN(100,MAX(0,100*(1-P8/Q8))))</x:f>
      </x:c>
      <x:c r="V8" s="41" t="str">
        <x:f>IFERROR(MIN(100,100*SUMIFS('2020-2025时序'!$O$2:$O$439,'2020-2025时序'!$B$2:$B$439,$B8,'2020-2025时序'!$C$2:$C$439,2025)/SUMIFS('2020-2025时序'!$J$2:$J$439,'2020-2025时序'!$B$2:$B$439,$B8,'2020-2025时序'!$C$2:$C$439,2025)),"")</x:f>
      </x:c>
      <x:c r="W8" s="41" t="str">
        <x:f>IF(OR(R8="",J8="",J8=0),"",MIN(100,100*R8/J8))</x:f>
      </x:c>
      <x:c r="X8" s="41" t="str">
        <x:f>IF(OR(K8="",T8="",U8="",W8=""),"",0.25*MIN(100,MAX(20,20+K8/0.08*80))+0.20*(100-T8)+0.20*(100-U8)+0.15*G8+0.10*(100-W8)+0.10*G8)</x:f>
      </x:c>
      <x:c r="Y8" s="41" t="n">
        <x:f>ROUND(100*COUNT(I8:S8)/11,0)</x:f>
        <x:v>0</x:v>
      </x:c>
      <x:c r="Z8" s="16" t="str">
        <x:f>IF(AND(J8&lt;&gt;"",K8&gt;0,M8&lt;&gt;"",L8&lt;&gt;"",M8&lt;L8),"表面增长/人口收缩",IF(AND(U8&lt;&gt;"",U8&gt;=80),"财政高度依赖",IF(E8="收缩风险","结构性收缩风险",IF(H8&gt;=75,"单一产业集中风险",""))))</x:f>
        <x:v>单一产业集中风险</x:v>
      </x:c>
      <x:c r="AA8" s="16" t="str">
        <x:f>"详见“2020-2025时序”逐年来源URL；产业与抓手为研究判断"</x:f>
        <x:v>详见“2020-2025时序”逐年来源URL；产业与抓手为研究判断</x:v>
      </x:c>
    </x:row>
    <x:row r="9">
      <x:c r="A9" s="16" t="str">
        <x:v>萍乡市</x:v>
      </x:c>
      <x:c r="B9" s="16" t="str">
        <x:v>芦溪县</x:v>
      </x:c>
      <x:c r="C9" s="16" t="str">
        <x:v>电瓷、电气装备、新材料</x:v>
      </x:c>
      <x:c r="D9" s="16" t="str">
        <x:v>B+</x:v>
      </x:c>
      <x:c r="E9" s="16" t="str">
        <x:v>转型增长型</x:v>
      </x:c>
      <x:c r="F9" s="16" t="str">
        <x:v>电网装备、新能源电气、出口</x:v>
      </x:c>
      <x:c r="G9" s="18" t="n">
        <x:v>77</x:v>
      </x:c>
      <x:c r="H9" s="18" t="n">
        <x:v>76</x:v>
      </x:c>
      <x:c r="I9" s="18" t="n">
        <x:f>IF(COUNTIFS('2020-2025时序'!$B$2:$B$439,$B9,'2020-2025时序'!$C$2:$C$439,2020,'2020-2025时序'!$D$2:$D$439,"&gt;0")=0,"",SUMIFS('2020-2025时序'!$D$2:$D$439,'2020-2025时序'!$B$2:$B$439,$B9,'2020-2025时序'!$C$2:$C$439,2020))</x:f>
        <x:v>115.3901</x:v>
      </x:c>
      <x:c r="J9" s="18" t="str">
        <x:f>IF(COUNTIFS('2020-2025时序'!$B$2:$B$439,$B9,'2020-2025时序'!$C$2:$C$439,2025,'2020-2025时序'!$D$2:$D$439,"&gt;0")=0,"",SUMIFS('2020-2025时序'!$D$2:$D$439,'2020-2025时序'!$B$2:$B$439,$B9,'2020-2025时序'!$C$2:$C$439,2025))</x:f>
      </x:c>
      <x:c r="K9" s="40" t="str">
        <x:f>IF(OR(I9="",J9=""),"",POWER(J9/I9,1/5)-1)</x:f>
      </x:c>
      <x:c r="L9" s="18" t="str">
        <x:f>IF(COUNTIFS('2020-2025时序'!$B$2:$B$439,$B9,'2020-2025时序'!$C$2:$C$439,2020,'2020-2025时序'!$E$2:$E$439,"&gt;0")=0,"",SUMIFS('2020-2025时序'!$E$2:$E$439,'2020-2025时序'!$B$2:$B$439,$B9,'2020-2025时序'!$C$2:$C$439,2020))</x:f>
      </x:c>
      <x:c r="M9" s="18" t="str">
        <x:f>IF(COUNTIFS('2020-2025时序'!$B$2:$B$439,$B9,'2020-2025时序'!$C$2:$C$439,2025,'2020-2025时序'!$E$2:$E$439,"&gt;0")=0,"",SUMIFS('2020-2025时序'!$E$2:$E$439,'2020-2025时序'!$B$2:$B$439,$B9,'2020-2025时序'!$C$2:$C$439,2025))</x:f>
      </x:c>
      <x:c r="N9" s="18" t="str">
        <x:f>IF(COUNTIFS('2020-2025时序'!$B$2:$B$439,$B9,'2020-2025时序'!$C$2:$C$439,2020,'2020-2025时序'!$F$2:$F$439,"&gt;0")=0,"",SUMIFS('2020-2025时序'!$F$2:$F$439,'2020-2025时序'!$B$2:$B$439,$B9,'2020-2025时序'!$C$2:$C$439,2020))</x:f>
      </x:c>
      <x:c r="O9" s="18" t="str">
        <x:f>IF(COUNTIFS('2020-2025时序'!$B$2:$B$439,$B9,'2020-2025时序'!$C$2:$C$439,2025,'2020-2025时序'!$F$2:$F$439,"&gt;0")=0,"",SUMIFS('2020-2025时序'!$F$2:$F$439,'2020-2025时序'!$B$2:$B$439,$B9,'2020-2025时序'!$C$2:$C$439,2025))</x:f>
      </x:c>
      <x:c r="P9" s="18" t="str">
        <x:f>IF(COUNTIFS('2020-2025时序'!$B$2:$B$439,$B9,'2020-2025时序'!$C$2:$C$439,2025,'2020-2025时序'!$G$2:$G$439,"&gt;0")=0,"",SUMIFS('2020-2025时序'!$G$2:$G$439,'2020-2025时序'!$B$2:$B$439,$B9,'2020-2025时序'!$C$2:$C$439,2025))</x:f>
      </x:c>
      <x:c r="Q9" s="18" t="str">
        <x:f>IF(COUNTIFS('2020-2025时序'!$B$2:$B$439,$B9,'2020-2025时序'!$C$2:$C$439,2025,'2020-2025时序'!$H$2:$H$439,"&gt;0")=0,"",SUMIFS('2020-2025时序'!$H$2:$H$439,'2020-2025时序'!$B$2:$B$439,$B9,'2020-2025时序'!$C$2:$C$439,2025))</x:f>
      </x:c>
      <x:c r="R9" s="18" t="str">
        <x:f>IF(COUNTIFS('2020-2025时序'!$B$2:$B$439,$B9,'2020-2025时序'!$C$2:$C$439,2025,'2020-2025时序'!$L$2:$L$439,"&gt;0")=0,"",SUMIFS('2020-2025时序'!$L$2:$L$439,'2020-2025时序'!$B$2:$B$439,$B9,'2020-2025时序'!$C$2:$C$439,2025))</x:f>
      </x:c>
      <x:c r="S9" s="18" t="str">
        <x:f>IF(COUNTIFS('2020-2025时序'!$B$2:$B$439,$B9,'2020-2025时序'!$C$2:$C$439,2025,'2020-2025时序'!$J$2:$J$439,"&gt;0")=0,"",SUMIFS('2020-2025时序'!$J$2:$J$439,'2020-2025时序'!$B$2:$B$439,$B9,'2020-2025时序'!$C$2:$C$439,2025))</x:f>
      </x:c>
      <x:c r="T9" s="41" t="str">
        <x:f>IF(OR(L9="",M9=""),"",IF(OR(N9="",O9=""),MIN(100,MAX(0,-(M9/L9-1)/0.10*100)),0.7*MIN(100,MAX(0,-(M9/L9-1)/0.10*100))+0.3*MIN(100,MAX(0,-(O9/N9-1)/0.50*100))))</x:f>
      </x:c>
      <x:c r="U9" s="41" t="str">
        <x:f>IF(OR(P9="",Q9="",Q9=0),"",MIN(100,MAX(0,100*(1-P9/Q9))))</x:f>
      </x:c>
      <x:c r="V9" s="41" t="str">
        <x:f>IFERROR(MIN(100,100*SUMIFS('2020-2025时序'!$O$2:$O$439,'2020-2025时序'!$B$2:$B$439,$B9,'2020-2025时序'!$C$2:$C$439,2025)/SUMIFS('2020-2025时序'!$J$2:$J$439,'2020-2025时序'!$B$2:$B$439,$B9,'2020-2025时序'!$C$2:$C$439,2025)),"")</x:f>
      </x:c>
      <x:c r="W9" s="41" t="str">
        <x:f>IF(OR(R9="",J9="",J9=0),"",MIN(100,100*R9/J9))</x:f>
      </x:c>
      <x:c r="X9" s="41" t="str">
        <x:f>IF(OR(K9="",T9="",U9="",W9=""),"",0.25*MIN(100,MAX(20,20+K9/0.08*80))+0.20*(100-T9)+0.20*(100-U9)+0.15*G9+0.10*(100-W9)+0.10*G9)</x:f>
      </x:c>
      <x:c r="Y9" s="41" t="n">
        <x:f>ROUND(100*COUNT(I9:S9)/11,0)</x:f>
        <x:v>9</x:v>
      </x:c>
      <x:c r="Z9" s="16" t="str">
        <x:f>IF(AND(J9&lt;&gt;"",K9&gt;0,M9&lt;&gt;"",L9&lt;&gt;"",M9&lt;L9),"表面增长/人口收缩",IF(AND(U9&lt;&gt;"",U9&gt;=80),"财政高度依赖",IF(E9="收缩风险","结构性收缩风险",IF(H9&gt;=75,"单一产业集中风险",""))))</x:f>
        <x:v>单一产业集中风险</x:v>
      </x:c>
      <x:c r="AA9" s="16" t="str">
        <x:f>"详见“2020-2025时序”逐年来源URL；产业与抓手为研究判断"</x:f>
        <x:v>详见“2020-2025时序”逐年来源URL；产业与抓手为研究判断</x:v>
      </x:c>
    </x:row>
    <x:row r="10">
      <x:c r="A10" s="16" t="str">
        <x:v>九江市</x:v>
      </x:c>
      <x:c r="B10" s="16" t="str">
        <x:v>武宁县</x:v>
      </x:c>
      <x:c r="C10" s="16" t="str">
        <x:v>文旅、绿色食品、新能源及轻工业</x:v>
      </x:c>
      <x:c r="D10" s="16" t="str">
        <x:v>C+</x:v>
      </x:c>
      <x:c r="E10" s="16" t="str">
        <x:v>承压型</x:v>
      </x:c>
      <x:c r="F10" s="16" t="str">
        <x:v>庐山西海旅游、康养、特色制造</x:v>
      </x:c>
      <x:c r="G10" s="18" t="n">
        <x:v>58</x:v>
      </x:c>
      <x:c r="H10" s="18" t="n">
        <x:v>48</x:v>
      </x:c>
      <x:c r="I10" s="18" t="str">
        <x:f>IF(COUNTIFS('2020-2025时序'!$B$2:$B$439,$B10,'2020-2025时序'!$C$2:$C$439,2020,'2020-2025时序'!$D$2:$D$439,"&gt;0")=0,"",SUMIFS('2020-2025时序'!$D$2:$D$439,'2020-2025时序'!$B$2:$B$439,$B10,'2020-2025时序'!$C$2:$C$439,2020))</x:f>
      </x:c>
      <x:c r="J10" s="18" t="str">
        <x:f>IF(COUNTIFS('2020-2025时序'!$B$2:$B$439,$B10,'2020-2025时序'!$C$2:$C$439,2025,'2020-2025时序'!$D$2:$D$439,"&gt;0")=0,"",SUMIFS('2020-2025时序'!$D$2:$D$439,'2020-2025时序'!$B$2:$B$439,$B10,'2020-2025时序'!$C$2:$C$439,2025))</x:f>
      </x:c>
      <x:c r="K10" s="40" t="str">
        <x:f>IF(OR(I10="",J10=""),"",POWER(J10/I10,1/5)-1)</x:f>
      </x:c>
      <x:c r="L10" s="18" t="str">
        <x:f>IF(COUNTIFS('2020-2025时序'!$B$2:$B$439,$B10,'2020-2025时序'!$C$2:$C$439,2020,'2020-2025时序'!$E$2:$E$439,"&gt;0")=0,"",SUMIFS('2020-2025时序'!$E$2:$E$439,'2020-2025时序'!$B$2:$B$439,$B10,'2020-2025时序'!$C$2:$C$439,2020))</x:f>
      </x:c>
      <x:c r="M10" s="18" t="str">
        <x:f>IF(COUNTIFS('2020-2025时序'!$B$2:$B$439,$B10,'2020-2025时序'!$C$2:$C$439,2025,'2020-2025时序'!$E$2:$E$439,"&gt;0")=0,"",SUMIFS('2020-2025时序'!$E$2:$E$439,'2020-2025时序'!$B$2:$B$439,$B10,'2020-2025时序'!$C$2:$C$439,2025))</x:f>
      </x:c>
      <x:c r="N10" s="18" t="str">
        <x:f>IF(COUNTIFS('2020-2025时序'!$B$2:$B$439,$B10,'2020-2025时序'!$C$2:$C$439,2020,'2020-2025时序'!$F$2:$F$439,"&gt;0")=0,"",SUMIFS('2020-2025时序'!$F$2:$F$439,'2020-2025时序'!$B$2:$B$439,$B10,'2020-2025时序'!$C$2:$C$439,2020))</x:f>
      </x:c>
      <x:c r="O10" s="18" t="str">
        <x:f>IF(COUNTIFS('2020-2025时序'!$B$2:$B$439,$B10,'2020-2025时序'!$C$2:$C$439,2025,'2020-2025时序'!$F$2:$F$439,"&gt;0")=0,"",SUMIFS('2020-2025时序'!$F$2:$F$439,'2020-2025时序'!$B$2:$B$439,$B10,'2020-2025时序'!$C$2:$C$439,2025))</x:f>
      </x:c>
      <x:c r="P10" s="18" t="str">
        <x:f>IF(COUNTIFS('2020-2025时序'!$B$2:$B$439,$B10,'2020-2025时序'!$C$2:$C$439,2025,'2020-2025时序'!$G$2:$G$439,"&gt;0")=0,"",SUMIFS('2020-2025时序'!$G$2:$G$439,'2020-2025时序'!$B$2:$B$439,$B10,'2020-2025时序'!$C$2:$C$439,2025))</x:f>
      </x:c>
      <x:c r="Q10" s="18" t="str">
        <x:f>IF(COUNTIFS('2020-2025时序'!$B$2:$B$439,$B10,'2020-2025时序'!$C$2:$C$439,2025,'2020-2025时序'!$H$2:$H$439,"&gt;0")=0,"",SUMIFS('2020-2025时序'!$H$2:$H$439,'2020-2025时序'!$B$2:$B$439,$B10,'2020-2025时序'!$C$2:$C$439,2025))</x:f>
      </x:c>
      <x:c r="R10" s="18" t="str">
        <x:f>IF(COUNTIFS('2020-2025时序'!$B$2:$B$439,$B10,'2020-2025时序'!$C$2:$C$439,2025,'2020-2025时序'!$L$2:$L$439,"&gt;0")=0,"",SUMIFS('2020-2025时序'!$L$2:$L$439,'2020-2025时序'!$B$2:$B$439,$B10,'2020-2025时序'!$C$2:$C$439,2025))</x:f>
      </x:c>
      <x:c r="S10" s="18" t="str">
        <x:f>IF(COUNTIFS('2020-2025时序'!$B$2:$B$439,$B10,'2020-2025时序'!$C$2:$C$439,2025,'2020-2025时序'!$J$2:$J$439,"&gt;0")=0,"",SUMIFS('2020-2025时序'!$J$2:$J$439,'2020-2025时序'!$B$2:$B$439,$B10,'2020-2025时序'!$C$2:$C$439,2025))</x:f>
      </x:c>
      <x:c r="T10" s="41" t="str">
        <x:f>IF(OR(L10="",M10=""),"",IF(OR(N10="",O10=""),MIN(100,MAX(0,-(M10/L10-1)/0.10*100)),0.7*MIN(100,MAX(0,-(M10/L10-1)/0.10*100))+0.3*MIN(100,MAX(0,-(O10/N10-1)/0.50*100))))</x:f>
      </x:c>
      <x:c r="U10" s="41" t="str">
        <x:f>IF(OR(P10="",Q10="",Q10=0),"",MIN(100,MAX(0,100*(1-P10/Q10))))</x:f>
      </x:c>
      <x:c r="V10" s="41" t="str">
        <x:f>IFERROR(MIN(100,100*SUMIFS('2020-2025时序'!$O$2:$O$439,'2020-2025时序'!$B$2:$B$439,$B10,'2020-2025时序'!$C$2:$C$439,2025)/SUMIFS('2020-2025时序'!$J$2:$J$439,'2020-2025时序'!$B$2:$B$439,$B10,'2020-2025时序'!$C$2:$C$439,2025)),"")</x:f>
      </x:c>
      <x:c r="W10" s="41" t="str">
        <x:f>IF(OR(R10="",J10="",J10=0),"",MIN(100,100*R10/J10))</x:f>
      </x:c>
      <x:c r="X10" s="41" t="str">
        <x:f>IF(OR(K10="",T10="",U10="",W10=""),"",0.25*MIN(100,MAX(20,20+K10/0.08*80))+0.20*(100-T10)+0.20*(100-U10)+0.15*G10+0.10*(100-W10)+0.10*G10)</x:f>
      </x:c>
      <x:c r="Y10" s="41" t="n">
        <x:f>ROUND(100*COUNT(I10:S10)/11,0)</x:f>
        <x:v>0</x:v>
      </x:c>
      <x:c r="Z10" s="16" t="str">
        <x:f>IF(AND(J10&lt;&gt;"",K10&gt;0,M10&lt;&gt;"",L10&lt;&gt;"",M10&lt;L10),"表面增长/人口收缩",IF(AND(U10&lt;&gt;"",U10&gt;=80),"财政高度依赖",IF(E10="收缩风险","结构性收缩风险",IF(H10&gt;=75,"单一产业集中风险",""))))</x:f>
      </x:c>
      <x:c r="AA10" s="16" t="str">
        <x:f>"详见“2020-2025时序”逐年来源URL；产业与抓手为研究判断"</x:f>
        <x:v>详见“2020-2025时序”逐年来源URL；产业与抓手为研究判断</x:v>
      </x:c>
    </x:row>
    <x:row r="11">
      <x:c r="A11" s="16" t="str">
        <x:v>九江市</x:v>
      </x:c>
      <x:c r="B11" s="16" t="str">
        <x:v>修水县</x:v>
      </x:c>
      <x:c r="C11" s="16" t="str">
        <x:v>茶叶食品、矿业、模具制造</x:v>
      </x:c>
      <x:c r="D11" s="16" t="str">
        <x:v>B-/C+</x:v>
      </x:c>
      <x:c r="E11" s="16" t="str">
        <x:v>承压型</x:v>
      </x:c>
      <x:c r="F11" s="16" t="str">
        <x:v>模具产业、茶食品深加工、交通改善</x:v>
      </x:c>
      <x:c r="G11" s="18" t="n">
        <x:v>62</x:v>
      </x:c>
      <x:c r="H11" s="18" t="n">
        <x:v>48</x:v>
      </x:c>
      <x:c r="I11" s="18" t="n">
        <x:f>IF(COUNTIFS('2020-2025时序'!$B$2:$B$439,$B11,'2020-2025时序'!$C$2:$C$439,2020,'2020-2025时序'!$D$2:$D$439,"&gt;0")=0,"",SUMIFS('2020-2025时序'!$D$2:$D$439,'2020-2025时序'!$B$2:$B$439,$B11,'2020-2025时序'!$C$2:$C$439,2020))</x:f>
        <x:v>257</x:v>
      </x:c>
      <x:c r="J11" s="18" t="str">
        <x:f>IF(COUNTIFS('2020-2025时序'!$B$2:$B$439,$B11,'2020-2025时序'!$C$2:$C$439,2025,'2020-2025时序'!$D$2:$D$439,"&gt;0")=0,"",SUMIFS('2020-2025时序'!$D$2:$D$439,'2020-2025时序'!$B$2:$B$439,$B11,'2020-2025时序'!$C$2:$C$439,2025))</x:f>
      </x:c>
      <x:c r="K11" s="40" t="str">
        <x:f>IF(OR(I11="",J11=""),"",POWER(J11/I11,1/5)-1)</x:f>
      </x:c>
      <x:c r="L11" s="18" t="str">
        <x:f>IF(COUNTIFS('2020-2025时序'!$B$2:$B$439,$B11,'2020-2025时序'!$C$2:$C$439,2020,'2020-2025时序'!$E$2:$E$439,"&gt;0")=0,"",SUMIFS('2020-2025时序'!$E$2:$E$439,'2020-2025时序'!$B$2:$B$439,$B11,'2020-2025时序'!$C$2:$C$439,2020))</x:f>
      </x:c>
      <x:c r="M11" s="18" t="str">
        <x:f>IF(COUNTIFS('2020-2025时序'!$B$2:$B$439,$B11,'2020-2025时序'!$C$2:$C$439,2025,'2020-2025时序'!$E$2:$E$439,"&gt;0")=0,"",SUMIFS('2020-2025时序'!$E$2:$E$439,'2020-2025时序'!$B$2:$B$439,$B11,'2020-2025时序'!$C$2:$C$439,2025))</x:f>
      </x:c>
      <x:c r="N11" s="18" t="str">
        <x:f>IF(COUNTIFS('2020-2025时序'!$B$2:$B$439,$B11,'2020-2025时序'!$C$2:$C$439,2020,'2020-2025时序'!$F$2:$F$439,"&gt;0")=0,"",SUMIFS('2020-2025时序'!$F$2:$F$439,'2020-2025时序'!$B$2:$B$439,$B11,'2020-2025时序'!$C$2:$C$439,2020))</x:f>
      </x:c>
      <x:c r="O11" s="18" t="str">
        <x:f>IF(COUNTIFS('2020-2025时序'!$B$2:$B$439,$B11,'2020-2025时序'!$C$2:$C$439,2025,'2020-2025时序'!$F$2:$F$439,"&gt;0")=0,"",SUMIFS('2020-2025时序'!$F$2:$F$439,'2020-2025时序'!$B$2:$B$439,$B11,'2020-2025时序'!$C$2:$C$439,2025))</x:f>
      </x:c>
      <x:c r="P11" s="18" t="str">
        <x:f>IF(COUNTIFS('2020-2025时序'!$B$2:$B$439,$B11,'2020-2025时序'!$C$2:$C$439,2025,'2020-2025时序'!$G$2:$G$439,"&gt;0")=0,"",SUMIFS('2020-2025时序'!$G$2:$G$439,'2020-2025时序'!$B$2:$B$439,$B11,'2020-2025时序'!$C$2:$C$439,2025))</x:f>
      </x:c>
      <x:c r="Q11" s="18" t="str">
        <x:f>IF(COUNTIFS('2020-2025时序'!$B$2:$B$439,$B11,'2020-2025时序'!$C$2:$C$439,2025,'2020-2025时序'!$H$2:$H$439,"&gt;0")=0,"",SUMIFS('2020-2025时序'!$H$2:$H$439,'2020-2025时序'!$B$2:$B$439,$B11,'2020-2025时序'!$C$2:$C$439,2025))</x:f>
      </x:c>
      <x:c r="R11" s="18" t="str">
        <x:f>IF(COUNTIFS('2020-2025时序'!$B$2:$B$439,$B11,'2020-2025时序'!$C$2:$C$439,2025,'2020-2025时序'!$L$2:$L$439,"&gt;0")=0,"",SUMIFS('2020-2025时序'!$L$2:$L$439,'2020-2025时序'!$B$2:$B$439,$B11,'2020-2025时序'!$C$2:$C$439,2025))</x:f>
      </x:c>
      <x:c r="S11" s="18" t="str">
        <x:f>IF(COUNTIFS('2020-2025时序'!$B$2:$B$439,$B11,'2020-2025时序'!$C$2:$C$439,2025,'2020-2025时序'!$J$2:$J$439,"&gt;0")=0,"",SUMIFS('2020-2025时序'!$J$2:$J$439,'2020-2025时序'!$B$2:$B$439,$B11,'2020-2025时序'!$C$2:$C$439,2025))</x:f>
      </x:c>
      <x:c r="T11" s="41" t="str">
        <x:f>IF(OR(L11="",M11=""),"",IF(OR(N11="",O11=""),MIN(100,MAX(0,-(M11/L11-1)/0.10*100)),0.7*MIN(100,MAX(0,-(M11/L11-1)/0.10*100))+0.3*MIN(100,MAX(0,-(O11/N11-1)/0.50*100))))</x:f>
      </x:c>
      <x:c r="U11" s="41" t="str">
        <x:f>IF(OR(P11="",Q11="",Q11=0),"",MIN(100,MAX(0,100*(1-P11/Q11))))</x:f>
      </x:c>
      <x:c r="V11" s="41" t="str">
        <x:f>IFERROR(MIN(100,100*SUMIFS('2020-2025时序'!$O$2:$O$439,'2020-2025时序'!$B$2:$B$439,$B11,'2020-2025时序'!$C$2:$C$439,2025)/SUMIFS('2020-2025时序'!$J$2:$J$439,'2020-2025时序'!$B$2:$B$439,$B11,'2020-2025时序'!$C$2:$C$439,2025)),"")</x:f>
      </x:c>
      <x:c r="W11" s="41" t="str">
        <x:f>IF(OR(R11="",J11="",J11=0),"",MIN(100,100*R11/J11))</x:f>
      </x:c>
      <x:c r="X11" s="41" t="str">
        <x:f>IF(OR(K11="",T11="",U11="",W11=""),"",0.25*MIN(100,MAX(20,20+K11/0.08*80))+0.20*(100-T11)+0.20*(100-U11)+0.15*G11+0.10*(100-W11)+0.10*G11)</x:f>
      </x:c>
      <x:c r="Y11" s="41" t="n">
        <x:f>ROUND(100*COUNT(I11:S11)/11,0)</x:f>
        <x:v>9</x:v>
      </x:c>
      <x:c r="Z11" s="16" t="str">
        <x:f>IF(AND(J11&lt;&gt;"",K11&gt;0,M11&lt;&gt;"",L11&lt;&gt;"",M11&lt;L11),"表面增长/人口收缩",IF(AND(U11&lt;&gt;"",U11&gt;=80),"财政高度依赖",IF(E11="收缩风险","结构性收缩风险",IF(H11&gt;=75,"单一产业集中风险",""))))</x:f>
      </x:c>
      <x:c r="AA11" s="16" t="str">
        <x:f>"详见“2020-2025时序”逐年来源URL；产业与抓手为研究判断"</x:f>
        <x:v>详见“2020-2025时序”逐年来源URL；产业与抓手为研究判断</x:v>
      </x:c>
    </x:row>
    <x:row r="12">
      <x:c r="A12" s="16" t="str">
        <x:v>九江市</x:v>
      </x:c>
      <x:c r="B12" s="16" t="str">
        <x:v>永修县</x:v>
      </x:c>
      <x:c r="C12" s="16" t="str">
        <x:v>有机硅、新材料、化工、文旅</x:v>
      </x:c>
      <x:c r="D12" s="16" t="str">
        <x:v>A-</x:v>
      </x:c>
      <x:c r="E12" s="16" t="str">
        <x:v>增长型</x:v>
      </x:c>
      <x:c r="F12" s="16" t="str">
        <x:v>有机硅下游高端化、南昌都市圈</x:v>
      </x:c>
      <x:c r="G12" s="18" t="n">
        <x:v>85</x:v>
      </x:c>
      <x:c r="H12" s="18" t="n">
        <x:v>66</x:v>
      </x:c>
      <x:c r="I12" s="18" t="str">
        <x:f>IF(COUNTIFS('2020-2025时序'!$B$2:$B$439,$B12,'2020-2025时序'!$C$2:$C$439,2020,'2020-2025时序'!$D$2:$D$439,"&gt;0")=0,"",SUMIFS('2020-2025时序'!$D$2:$D$439,'2020-2025时序'!$B$2:$B$439,$B12,'2020-2025时序'!$C$2:$C$439,2020))</x:f>
      </x:c>
      <x:c r="J12" s="18" t="str">
        <x:f>IF(COUNTIFS('2020-2025时序'!$B$2:$B$439,$B12,'2020-2025时序'!$C$2:$C$439,2025,'2020-2025时序'!$D$2:$D$439,"&gt;0")=0,"",SUMIFS('2020-2025时序'!$D$2:$D$439,'2020-2025时序'!$B$2:$B$439,$B12,'2020-2025时序'!$C$2:$C$439,2025))</x:f>
      </x:c>
      <x:c r="K12" s="40" t="str">
        <x:f>IF(OR(I12="",J12=""),"",POWER(J12/I12,1/5)-1)</x:f>
      </x:c>
      <x:c r="L12" s="18" t="n">
        <x:f>IF(COUNTIFS('2020-2025时序'!$B$2:$B$439,$B12,'2020-2025时序'!$C$2:$C$439,2020,'2020-2025时序'!$E$2:$E$439,"&gt;0")=0,"",SUMIFS('2020-2025时序'!$E$2:$E$439,'2020-2025时序'!$B$2:$B$439,$B12,'2020-2025时序'!$C$2:$C$439,2020))</x:f>
        <x:v>31.6365</x:v>
      </x:c>
      <x:c r="M12" s="18" t="str">
        <x:f>IF(COUNTIFS('2020-2025时序'!$B$2:$B$439,$B12,'2020-2025时序'!$C$2:$C$439,2025,'2020-2025时序'!$E$2:$E$439,"&gt;0")=0,"",SUMIFS('2020-2025时序'!$E$2:$E$439,'2020-2025时序'!$B$2:$B$439,$B12,'2020-2025时序'!$C$2:$C$439,2025))</x:f>
      </x:c>
      <x:c r="N12" s="18" t="str">
        <x:f>IF(COUNTIFS('2020-2025时序'!$B$2:$B$439,$B12,'2020-2025时序'!$C$2:$C$439,2020,'2020-2025时序'!$F$2:$F$439,"&gt;0")=0,"",SUMIFS('2020-2025时序'!$F$2:$F$439,'2020-2025时序'!$B$2:$B$439,$B12,'2020-2025时序'!$C$2:$C$439,2020))</x:f>
      </x:c>
      <x:c r="O12" s="18" t="str">
        <x:f>IF(COUNTIFS('2020-2025时序'!$B$2:$B$439,$B12,'2020-2025时序'!$C$2:$C$439,2025,'2020-2025时序'!$F$2:$F$439,"&gt;0")=0,"",SUMIFS('2020-2025时序'!$F$2:$F$439,'2020-2025时序'!$B$2:$B$439,$B12,'2020-2025时序'!$C$2:$C$439,2025))</x:f>
      </x:c>
      <x:c r="P12" s="18" t="str">
        <x:f>IF(COUNTIFS('2020-2025时序'!$B$2:$B$439,$B12,'2020-2025时序'!$C$2:$C$439,2025,'2020-2025时序'!$G$2:$G$439,"&gt;0")=0,"",SUMIFS('2020-2025时序'!$G$2:$G$439,'2020-2025时序'!$B$2:$B$439,$B12,'2020-2025时序'!$C$2:$C$439,2025))</x:f>
      </x:c>
      <x:c r="Q12" s="18" t="str">
        <x:f>IF(COUNTIFS('2020-2025时序'!$B$2:$B$439,$B12,'2020-2025时序'!$C$2:$C$439,2025,'2020-2025时序'!$H$2:$H$439,"&gt;0")=0,"",SUMIFS('2020-2025时序'!$H$2:$H$439,'2020-2025时序'!$B$2:$B$439,$B12,'2020-2025时序'!$C$2:$C$439,2025))</x:f>
      </x:c>
      <x:c r="R12" s="18" t="str">
        <x:f>IF(COUNTIFS('2020-2025时序'!$B$2:$B$439,$B12,'2020-2025时序'!$C$2:$C$439,2025,'2020-2025时序'!$L$2:$L$439,"&gt;0")=0,"",SUMIFS('2020-2025时序'!$L$2:$L$439,'2020-2025时序'!$B$2:$B$439,$B12,'2020-2025时序'!$C$2:$C$439,2025))</x:f>
      </x:c>
      <x:c r="S12" s="18" t="str">
        <x:f>IF(COUNTIFS('2020-2025时序'!$B$2:$B$439,$B12,'2020-2025时序'!$C$2:$C$439,2025,'2020-2025时序'!$J$2:$J$439,"&gt;0")=0,"",SUMIFS('2020-2025时序'!$J$2:$J$439,'2020-2025时序'!$B$2:$B$439,$B12,'2020-2025时序'!$C$2:$C$439,2025))</x:f>
      </x:c>
      <x:c r="T12" s="41" t="str">
        <x:f>IF(OR(L12="",M12=""),"",IF(OR(N12="",O12=""),MIN(100,MAX(0,-(M12/L12-1)/0.10*100)),0.7*MIN(100,MAX(0,-(M12/L12-1)/0.10*100))+0.3*MIN(100,MAX(0,-(O12/N12-1)/0.50*100))))</x:f>
      </x:c>
      <x:c r="U12" s="41" t="str">
        <x:f>IF(OR(P12="",Q12="",Q12=0),"",MIN(100,MAX(0,100*(1-P12/Q12))))</x:f>
      </x:c>
      <x:c r="V12" s="41" t="str">
        <x:f>IFERROR(MIN(100,100*SUMIFS('2020-2025时序'!$O$2:$O$439,'2020-2025时序'!$B$2:$B$439,$B12,'2020-2025时序'!$C$2:$C$439,2025)/SUMIFS('2020-2025时序'!$J$2:$J$439,'2020-2025时序'!$B$2:$B$439,$B12,'2020-2025时序'!$C$2:$C$439,2025)),"")</x:f>
      </x:c>
      <x:c r="W12" s="41" t="str">
        <x:f>IF(OR(R12="",J12="",J12=0),"",MIN(100,100*R12/J12))</x:f>
      </x:c>
      <x:c r="X12" s="41" t="str">
        <x:f>IF(OR(K12="",T12="",U12="",W12=""),"",0.25*MIN(100,MAX(20,20+K12/0.08*80))+0.20*(100-T12)+0.20*(100-U12)+0.15*G12+0.10*(100-W12)+0.10*G12)</x:f>
      </x:c>
      <x:c r="Y12" s="41" t="n">
        <x:f>ROUND(100*COUNT(I12:S12)/11,0)</x:f>
        <x:v>9</x:v>
      </x:c>
      <x:c r="Z12" s="16" t="str">
        <x:f>IF(AND(J12&lt;&gt;"",K12&gt;0,M12&lt;&gt;"",L12&lt;&gt;"",M12&lt;L12),"表面增长/人口收缩",IF(AND(U12&lt;&gt;"",U12&gt;=80),"财政高度依赖",IF(E12="收缩风险","结构性收缩风险",IF(H12&gt;=75,"单一产业集中风险",""))))</x:f>
      </x:c>
      <x:c r="AA12" s="16" t="str">
        <x:f>"详见“2020-2025时序”逐年来源URL；产业与抓手为研究判断"</x:f>
        <x:v>详见“2020-2025时序”逐年来源URL；产业与抓手为研究判断</x:v>
      </x:c>
    </x:row>
    <x:row r="13">
      <x:c r="A13" s="16" t="str">
        <x:v>九江市</x:v>
      </x:c>
      <x:c r="B13" s="16" t="str">
        <x:v>德安县</x:v>
      </x:c>
      <x:c r="C13" s="16" t="str">
        <x:v>纺织服装、电子、新材料</x:v>
      </x:c>
      <x:c r="D13" s="16" t="str">
        <x:v>B</x:v>
      </x:c>
      <x:c r="E13" s="16" t="str">
        <x:v>转型型</x:v>
      </x:c>
      <x:c r="F13" s="16" t="str">
        <x:v>制造业升级、昌九走廊</x:v>
      </x:c>
      <x:c r="G13" s="18" t="n">
        <x:v>68</x:v>
      </x:c>
      <x:c r="H13" s="18" t="n">
        <x:v>56</x:v>
      </x:c>
      <x:c r="I13" s="18" t="str">
        <x:f>IF(COUNTIFS('2020-2025时序'!$B$2:$B$439,$B13,'2020-2025时序'!$C$2:$C$439,2020,'2020-2025时序'!$D$2:$D$439,"&gt;0")=0,"",SUMIFS('2020-2025时序'!$D$2:$D$439,'2020-2025时序'!$B$2:$B$439,$B13,'2020-2025时序'!$C$2:$C$439,2020))</x:f>
      </x:c>
      <x:c r="J13" s="18" t="str">
        <x:f>IF(COUNTIFS('2020-2025时序'!$B$2:$B$439,$B13,'2020-2025时序'!$C$2:$C$439,2025,'2020-2025时序'!$D$2:$D$439,"&gt;0")=0,"",SUMIFS('2020-2025时序'!$D$2:$D$439,'2020-2025时序'!$B$2:$B$439,$B13,'2020-2025时序'!$C$2:$C$439,2025))</x:f>
      </x:c>
      <x:c r="K13" s="40" t="str">
        <x:f>IF(OR(I13="",J13=""),"",POWER(J13/I13,1/5)-1)</x:f>
      </x:c>
      <x:c r="L13" s="18" t="str">
        <x:f>IF(COUNTIFS('2020-2025时序'!$B$2:$B$439,$B13,'2020-2025时序'!$C$2:$C$439,2020,'2020-2025时序'!$E$2:$E$439,"&gt;0")=0,"",SUMIFS('2020-2025时序'!$E$2:$E$439,'2020-2025时序'!$B$2:$B$439,$B13,'2020-2025时序'!$C$2:$C$439,2020))</x:f>
      </x:c>
      <x:c r="M13" s="18" t="str">
        <x:f>IF(COUNTIFS('2020-2025时序'!$B$2:$B$439,$B13,'2020-2025时序'!$C$2:$C$439,2025,'2020-2025时序'!$E$2:$E$439,"&gt;0")=0,"",SUMIFS('2020-2025时序'!$E$2:$E$439,'2020-2025时序'!$B$2:$B$439,$B13,'2020-2025时序'!$C$2:$C$439,2025))</x:f>
      </x:c>
      <x:c r="N13" s="18" t="str">
        <x:f>IF(COUNTIFS('2020-2025时序'!$B$2:$B$439,$B13,'2020-2025时序'!$C$2:$C$439,2020,'2020-2025时序'!$F$2:$F$439,"&gt;0")=0,"",SUMIFS('2020-2025时序'!$F$2:$F$439,'2020-2025时序'!$B$2:$B$439,$B13,'2020-2025时序'!$C$2:$C$439,2020))</x:f>
      </x:c>
      <x:c r="O13" s="18" t="str">
        <x:f>IF(COUNTIFS('2020-2025时序'!$B$2:$B$439,$B13,'2020-2025时序'!$C$2:$C$439,2025,'2020-2025时序'!$F$2:$F$439,"&gt;0")=0,"",SUMIFS('2020-2025时序'!$F$2:$F$439,'2020-2025时序'!$B$2:$B$439,$B13,'2020-2025时序'!$C$2:$C$439,2025))</x:f>
      </x:c>
      <x:c r="P13" s="18" t="str">
        <x:f>IF(COUNTIFS('2020-2025时序'!$B$2:$B$439,$B13,'2020-2025时序'!$C$2:$C$439,2025,'2020-2025时序'!$G$2:$G$439,"&gt;0")=0,"",SUMIFS('2020-2025时序'!$G$2:$G$439,'2020-2025时序'!$B$2:$B$439,$B13,'2020-2025时序'!$C$2:$C$439,2025))</x:f>
      </x:c>
      <x:c r="Q13" s="18" t="str">
        <x:f>IF(COUNTIFS('2020-2025时序'!$B$2:$B$439,$B13,'2020-2025时序'!$C$2:$C$439,2025,'2020-2025时序'!$H$2:$H$439,"&gt;0")=0,"",SUMIFS('2020-2025时序'!$H$2:$H$439,'2020-2025时序'!$B$2:$B$439,$B13,'2020-2025时序'!$C$2:$C$439,2025))</x:f>
      </x:c>
      <x:c r="R13" s="18" t="str">
        <x:f>IF(COUNTIFS('2020-2025时序'!$B$2:$B$439,$B13,'2020-2025时序'!$C$2:$C$439,2025,'2020-2025时序'!$L$2:$L$439,"&gt;0")=0,"",SUMIFS('2020-2025时序'!$L$2:$L$439,'2020-2025时序'!$B$2:$B$439,$B13,'2020-2025时序'!$C$2:$C$439,2025))</x:f>
      </x:c>
      <x:c r="S13" s="18" t="str">
        <x:f>IF(COUNTIFS('2020-2025时序'!$B$2:$B$439,$B13,'2020-2025时序'!$C$2:$C$439,2025,'2020-2025时序'!$J$2:$J$439,"&gt;0")=0,"",SUMIFS('2020-2025时序'!$J$2:$J$439,'2020-2025时序'!$B$2:$B$439,$B13,'2020-2025时序'!$C$2:$C$439,2025))</x:f>
      </x:c>
      <x:c r="T13" s="41" t="str">
        <x:f>IF(OR(L13="",M13=""),"",IF(OR(N13="",O13=""),MIN(100,MAX(0,-(M13/L13-1)/0.10*100)),0.7*MIN(100,MAX(0,-(M13/L13-1)/0.10*100))+0.3*MIN(100,MAX(0,-(O13/N13-1)/0.50*100))))</x:f>
      </x:c>
      <x:c r="U13" s="41" t="str">
        <x:f>IF(OR(P13="",Q13="",Q13=0),"",MIN(100,MAX(0,100*(1-P13/Q13))))</x:f>
      </x:c>
      <x:c r="V13" s="41" t="str">
        <x:f>IFERROR(MIN(100,100*SUMIFS('2020-2025时序'!$O$2:$O$439,'2020-2025时序'!$B$2:$B$439,$B13,'2020-2025时序'!$C$2:$C$439,2025)/SUMIFS('2020-2025时序'!$J$2:$J$439,'2020-2025时序'!$B$2:$B$439,$B13,'2020-2025时序'!$C$2:$C$439,2025)),"")</x:f>
      </x:c>
      <x:c r="W13" s="41" t="str">
        <x:f>IF(OR(R13="",J13="",J13=0),"",MIN(100,100*R13/J13))</x:f>
      </x:c>
      <x:c r="X13" s="41" t="str">
        <x:f>IF(OR(K13="",T13="",U13="",W13=""),"",0.25*MIN(100,MAX(20,20+K13/0.08*80))+0.20*(100-T13)+0.20*(100-U13)+0.15*G13+0.10*(100-W13)+0.10*G13)</x:f>
      </x:c>
      <x:c r="Y13" s="41" t="n">
        <x:f>ROUND(100*COUNT(I13:S13)/11,0)</x:f>
        <x:v>0</x:v>
      </x:c>
      <x:c r="Z13" s="16" t="str">
        <x:f>IF(AND(J13&lt;&gt;"",K13&gt;0,M13&lt;&gt;"",L13&lt;&gt;"",M13&lt;L13),"表面增长/人口收缩",IF(AND(U13&lt;&gt;"",U13&gt;=80),"财政高度依赖",IF(E13="收缩风险","结构性收缩风险",IF(H13&gt;=75,"单一产业集中风险",""))))</x:f>
      </x:c>
      <x:c r="AA13" s="16" t="str">
        <x:f>"详见“2020-2025时序”逐年来源URL；产业与抓手为研究判断"</x:f>
        <x:v>详见“2020-2025时序”逐年来源URL；产业与抓手为研究判断</x:v>
      </x:c>
    </x:row>
    <x:row r="14">
      <x:c r="A14" s="16" t="str">
        <x:v>九江市</x:v>
      </x:c>
      <x:c r="B14" s="16" t="str">
        <x:v>都昌县</x:v>
      </x:c>
      <x:c r="C14" s="16" t="str">
        <x:v>农渔业、珠贝饰品、轻工</x:v>
      </x:c>
      <x:c r="D14" s="16" t="str">
        <x:v>C</x:v>
      </x:c>
      <x:c r="E14" s="16" t="str">
        <x:v>承压型</x:v>
      </x:c>
      <x:c r="F14" s="16" t="str">
        <x:v>鄱阳湖经济、食品加工、电商</x:v>
      </x:c>
      <x:c r="G14" s="18" t="n">
        <x:v>52</x:v>
      </x:c>
      <x:c r="H14" s="18" t="n">
        <x:v>48</x:v>
      </x:c>
      <x:c r="I14" s="18" t="n">
        <x:f>IF(COUNTIFS('2020-2025时序'!$B$2:$B$439,$B14,'2020-2025时序'!$C$2:$C$439,2020,'2020-2025时序'!$D$2:$D$439,"&gt;0")=0,"",SUMIFS('2020-2025时序'!$D$2:$D$439,'2020-2025时序'!$B$2:$B$439,$B14,'2020-2025时序'!$C$2:$C$439,2020))</x:f>
        <x:v>215.79</x:v>
      </x:c>
      <x:c r="J14" s="18" t="str">
        <x:f>IF(COUNTIFS('2020-2025时序'!$B$2:$B$439,$B14,'2020-2025时序'!$C$2:$C$439,2025,'2020-2025时序'!$D$2:$D$439,"&gt;0")=0,"",SUMIFS('2020-2025时序'!$D$2:$D$439,'2020-2025时序'!$B$2:$B$439,$B14,'2020-2025时序'!$C$2:$C$439,2025))</x:f>
      </x:c>
      <x:c r="K14" s="40" t="str">
        <x:f>IF(OR(I14="",J14=""),"",POWER(J14/I14,1/5)-1)</x:f>
      </x:c>
      <x:c r="L14" s="18" t="n">
        <x:f>IF(COUNTIFS('2020-2025时序'!$B$2:$B$439,$B14,'2020-2025时序'!$C$2:$C$439,2020,'2020-2025时序'!$E$2:$E$439,"&gt;0")=0,"",SUMIFS('2020-2025时序'!$E$2:$E$439,'2020-2025时序'!$B$2:$B$439,$B14,'2020-2025时序'!$C$2:$C$439,2020))</x:f>
        <x:v>57.7684</x:v>
      </x:c>
      <x:c r="M14" s="18" t="str">
        <x:f>IF(COUNTIFS('2020-2025时序'!$B$2:$B$439,$B14,'2020-2025时序'!$C$2:$C$439,2025,'2020-2025时序'!$E$2:$E$439,"&gt;0")=0,"",SUMIFS('2020-2025时序'!$E$2:$E$439,'2020-2025时序'!$B$2:$B$439,$B14,'2020-2025时序'!$C$2:$C$439,2025))</x:f>
      </x:c>
      <x:c r="N14" s="18" t="n">
        <x:f>IF(COUNTIFS('2020-2025时序'!$B$2:$B$439,$B14,'2020-2025时序'!$C$2:$C$439,2020,'2020-2025时序'!$F$2:$F$439,"&gt;0")=0,"",SUMIFS('2020-2025时序'!$F$2:$F$439,'2020-2025时序'!$B$2:$B$439,$B14,'2020-2025时序'!$C$2:$C$439,2020))</x:f>
        <x:v>6437</x:v>
      </x:c>
      <x:c r="O14" s="18" t="str">
        <x:f>IF(COUNTIFS('2020-2025时序'!$B$2:$B$439,$B14,'2020-2025时序'!$C$2:$C$439,2025,'2020-2025时序'!$F$2:$F$439,"&gt;0")=0,"",SUMIFS('2020-2025时序'!$F$2:$F$439,'2020-2025时序'!$B$2:$B$439,$B14,'2020-2025时序'!$C$2:$C$439,2025))</x:f>
      </x:c>
      <x:c r="P14" s="18" t="str">
        <x:f>IF(COUNTIFS('2020-2025时序'!$B$2:$B$439,$B14,'2020-2025时序'!$C$2:$C$439,2025,'2020-2025时序'!$G$2:$G$439,"&gt;0")=0,"",SUMIFS('2020-2025时序'!$G$2:$G$439,'2020-2025时序'!$B$2:$B$439,$B14,'2020-2025时序'!$C$2:$C$439,2025))</x:f>
      </x:c>
      <x:c r="Q14" s="18" t="str">
        <x:f>IF(COUNTIFS('2020-2025时序'!$B$2:$B$439,$B14,'2020-2025时序'!$C$2:$C$439,2025,'2020-2025时序'!$H$2:$H$439,"&gt;0")=0,"",SUMIFS('2020-2025时序'!$H$2:$H$439,'2020-2025时序'!$B$2:$B$439,$B14,'2020-2025时序'!$C$2:$C$439,2025))</x:f>
      </x:c>
      <x:c r="R14" s="18" t="str">
        <x:f>IF(COUNTIFS('2020-2025时序'!$B$2:$B$439,$B14,'2020-2025时序'!$C$2:$C$439,2025,'2020-2025时序'!$L$2:$L$439,"&gt;0")=0,"",SUMIFS('2020-2025时序'!$L$2:$L$439,'2020-2025时序'!$B$2:$B$439,$B14,'2020-2025时序'!$C$2:$C$439,2025))</x:f>
      </x:c>
      <x:c r="S14" s="18" t="str">
        <x:f>IF(COUNTIFS('2020-2025时序'!$B$2:$B$439,$B14,'2020-2025时序'!$C$2:$C$439,2025,'2020-2025时序'!$J$2:$J$439,"&gt;0")=0,"",SUMIFS('2020-2025时序'!$J$2:$J$439,'2020-2025时序'!$B$2:$B$439,$B14,'2020-2025时序'!$C$2:$C$439,2025))</x:f>
      </x:c>
      <x:c r="T14" s="41" t="str">
        <x:f>IF(OR(L14="",M14=""),"",IF(OR(N14="",O14=""),MIN(100,MAX(0,-(M14/L14-1)/0.10*100)),0.7*MIN(100,MAX(0,-(M14/L14-1)/0.10*100))+0.3*MIN(100,MAX(0,-(O14/N14-1)/0.50*100))))</x:f>
      </x:c>
      <x:c r="U14" s="41" t="str">
        <x:f>IF(OR(P14="",Q14="",Q14=0),"",MIN(100,MAX(0,100*(1-P14/Q14))))</x:f>
      </x:c>
      <x:c r="V14" s="41" t="str">
        <x:f>IFERROR(MIN(100,100*SUMIFS('2020-2025时序'!$O$2:$O$439,'2020-2025时序'!$B$2:$B$439,$B14,'2020-2025时序'!$C$2:$C$439,2025)/SUMIFS('2020-2025时序'!$J$2:$J$439,'2020-2025时序'!$B$2:$B$439,$B14,'2020-2025时序'!$C$2:$C$439,2025)),"")</x:f>
      </x:c>
      <x:c r="W14" s="41" t="str">
        <x:f>IF(OR(R14="",J14="",J14=0),"",MIN(100,100*R14/J14))</x:f>
      </x:c>
      <x:c r="X14" s="41" t="str">
        <x:f>IF(OR(K14="",T14="",U14="",W14=""),"",0.25*MIN(100,MAX(20,20+K14/0.08*80))+0.20*(100-T14)+0.20*(100-U14)+0.15*G14+0.10*(100-W14)+0.10*G14)</x:f>
      </x:c>
      <x:c r="Y14" s="41" t="n">
        <x:f>ROUND(100*COUNT(I14:S14)/11,0)</x:f>
        <x:v>27</x:v>
      </x:c>
      <x:c r="Z14" s="16" t="str">
        <x:f>IF(AND(J14&lt;&gt;"",K14&gt;0,M14&lt;&gt;"",L14&lt;&gt;"",M14&lt;L14),"表面增长/人口收缩",IF(AND(U14&lt;&gt;"",U14&gt;=80),"财政高度依赖",IF(E14="收缩风险","结构性收缩风险",IF(H14&gt;=75,"单一产业集中风险",""))))</x:f>
      </x:c>
      <x:c r="AA14" s="16" t="str">
        <x:f>"详见“2020-2025时序”逐年来源URL；产业与抓手为研究判断"</x:f>
        <x:v>详见“2020-2025时序”逐年来源URL；产业与抓手为研究判断</x:v>
      </x:c>
    </x:row>
    <x:row r="15">
      <x:c r="A15" s="16" t="str">
        <x:v>九江市</x:v>
      </x:c>
      <x:c r="B15" s="16" t="str">
        <x:v>湖口县</x:v>
      </x:c>
      <x:c r="C15" s="16" t="str">
        <x:v>钢铁、有色、锂电材料、新材料、港口</x:v>
      </x:c>
      <x:c r="D15" s="16" t="str">
        <x:v>A-</x:v>
      </x:c>
      <x:c r="E15" s="16" t="str">
        <x:v>增长型</x:v>
      </x:c>
      <x:c r="F15" s="16" t="str">
        <x:v>长江港口+大型工业集群</x:v>
      </x:c>
      <x:c r="G15" s="18" t="n">
        <x:v>85</x:v>
      </x:c>
      <x:c r="H15" s="18" t="n">
        <x:v>46</x:v>
      </x:c>
      <x:c r="I15" s="18" t="str">
        <x:f>IF(COUNTIFS('2020-2025时序'!$B$2:$B$439,$B15,'2020-2025时序'!$C$2:$C$439,2020,'2020-2025时序'!$D$2:$D$439,"&gt;0")=0,"",SUMIFS('2020-2025时序'!$D$2:$D$439,'2020-2025时序'!$B$2:$B$439,$B15,'2020-2025时序'!$C$2:$C$439,2020))</x:f>
      </x:c>
      <x:c r="J15" s="18" t="str">
        <x:f>IF(COUNTIFS('2020-2025时序'!$B$2:$B$439,$B15,'2020-2025时序'!$C$2:$C$439,2025,'2020-2025时序'!$D$2:$D$439,"&gt;0")=0,"",SUMIFS('2020-2025时序'!$D$2:$D$439,'2020-2025时序'!$B$2:$B$439,$B15,'2020-2025时序'!$C$2:$C$439,2025))</x:f>
      </x:c>
      <x:c r="K15" s="40" t="str">
        <x:f>IF(OR(I15="",J15=""),"",POWER(J15/I15,1/5)-1)</x:f>
      </x:c>
      <x:c r="L15" s="18" t="str">
        <x:f>IF(COUNTIFS('2020-2025时序'!$B$2:$B$439,$B15,'2020-2025时序'!$C$2:$C$439,2020,'2020-2025时序'!$E$2:$E$439,"&gt;0")=0,"",SUMIFS('2020-2025时序'!$E$2:$E$439,'2020-2025时序'!$B$2:$B$439,$B15,'2020-2025时序'!$C$2:$C$439,2020))</x:f>
      </x:c>
      <x:c r="M15" s="18" t="str">
        <x:f>IF(COUNTIFS('2020-2025时序'!$B$2:$B$439,$B15,'2020-2025时序'!$C$2:$C$439,2025,'2020-2025时序'!$E$2:$E$439,"&gt;0")=0,"",SUMIFS('2020-2025时序'!$E$2:$E$439,'2020-2025时序'!$B$2:$B$439,$B15,'2020-2025时序'!$C$2:$C$439,2025))</x:f>
      </x:c>
      <x:c r="N15" s="18" t="str">
        <x:f>IF(COUNTIFS('2020-2025时序'!$B$2:$B$439,$B15,'2020-2025时序'!$C$2:$C$439,2020,'2020-2025时序'!$F$2:$F$439,"&gt;0")=0,"",SUMIFS('2020-2025时序'!$F$2:$F$439,'2020-2025时序'!$B$2:$B$439,$B15,'2020-2025时序'!$C$2:$C$439,2020))</x:f>
      </x:c>
      <x:c r="O15" s="18" t="str">
        <x:f>IF(COUNTIFS('2020-2025时序'!$B$2:$B$439,$B15,'2020-2025时序'!$C$2:$C$439,2025,'2020-2025时序'!$F$2:$F$439,"&gt;0")=0,"",SUMIFS('2020-2025时序'!$F$2:$F$439,'2020-2025时序'!$B$2:$B$439,$B15,'2020-2025时序'!$C$2:$C$439,2025))</x:f>
      </x:c>
      <x:c r="P15" s="18" t="str">
        <x:f>IF(COUNTIFS('2020-2025时序'!$B$2:$B$439,$B15,'2020-2025时序'!$C$2:$C$439,2025,'2020-2025时序'!$G$2:$G$439,"&gt;0")=0,"",SUMIFS('2020-2025时序'!$G$2:$G$439,'2020-2025时序'!$B$2:$B$439,$B15,'2020-2025时序'!$C$2:$C$439,2025))</x:f>
      </x:c>
      <x:c r="Q15" s="18" t="str">
        <x:f>IF(COUNTIFS('2020-2025时序'!$B$2:$B$439,$B15,'2020-2025时序'!$C$2:$C$439,2025,'2020-2025时序'!$H$2:$H$439,"&gt;0")=0,"",SUMIFS('2020-2025时序'!$H$2:$H$439,'2020-2025时序'!$B$2:$B$439,$B15,'2020-2025时序'!$C$2:$C$439,2025))</x:f>
      </x:c>
      <x:c r="R15" s="18" t="str">
        <x:f>IF(COUNTIFS('2020-2025时序'!$B$2:$B$439,$B15,'2020-2025时序'!$C$2:$C$439,2025,'2020-2025时序'!$L$2:$L$439,"&gt;0")=0,"",SUMIFS('2020-2025时序'!$L$2:$L$439,'2020-2025时序'!$B$2:$B$439,$B15,'2020-2025时序'!$C$2:$C$439,2025))</x:f>
      </x:c>
      <x:c r="S15" s="18" t="str">
        <x:f>IF(COUNTIFS('2020-2025时序'!$B$2:$B$439,$B15,'2020-2025时序'!$C$2:$C$439,2025,'2020-2025时序'!$J$2:$J$439,"&gt;0")=0,"",SUMIFS('2020-2025时序'!$J$2:$J$439,'2020-2025时序'!$B$2:$B$439,$B15,'2020-2025时序'!$C$2:$C$439,2025))</x:f>
      </x:c>
      <x:c r="T15" s="41" t="str">
        <x:f>IF(OR(L15="",M15=""),"",IF(OR(N15="",O15=""),MIN(100,MAX(0,-(M15/L15-1)/0.10*100)),0.7*MIN(100,MAX(0,-(M15/L15-1)/0.10*100))+0.3*MIN(100,MAX(0,-(O15/N15-1)/0.50*100))))</x:f>
      </x:c>
      <x:c r="U15" s="41" t="str">
        <x:f>IF(OR(P15="",Q15="",Q15=0),"",MIN(100,MAX(0,100*(1-P15/Q15))))</x:f>
      </x:c>
      <x:c r="V15" s="41" t="str">
        <x:f>IFERROR(MIN(100,100*SUMIFS('2020-2025时序'!$O$2:$O$439,'2020-2025时序'!$B$2:$B$439,$B15,'2020-2025时序'!$C$2:$C$439,2025)/SUMIFS('2020-2025时序'!$J$2:$J$439,'2020-2025时序'!$B$2:$B$439,$B15,'2020-2025时序'!$C$2:$C$439,2025)),"")</x:f>
      </x:c>
      <x:c r="W15" s="41" t="str">
        <x:f>IF(OR(R15="",J15="",J15=0),"",MIN(100,100*R15/J15))</x:f>
      </x:c>
      <x:c r="X15" s="41" t="str">
        <x:f>IF(OR(K15="",T15="",U15="",W15=""),"",0.25*MIN(100,MAX(20,20+K15/0.08*80))+0.20*(100-T15)+0.20*(100-U15)+0.15*G15+0.10*(100-W15)+0.10*G15)</x:f>
      </x:c>
      <x:c r="Y15" s="41" t="n">
        <x:f>ROUND(100*COUNT(I15:S15)/11,0)</x:f>
        <x:v>0</x:v>
      </x:c>
      <x:c r="Z15" s="16" t="str">
        <x:f>IF(AND(J15&lt;&gt;"",K15&gt;0,M15&lt;&gt;"",L15&lt;&gt;"",M15&lt;L15),"表面增长/人口收缩",IF(AND(U15&lt;&gt;"",U15&gt;=80),"财政高度依赖",IF(E15="收缩风险","结构性收缩风险",IF(H15&gt;=75,"单一产业集中风险",""))))</x:f>
      </x:c>
      <x:c r="AA15" s="16" t="str">
        <x:f>"详见“2020-2025时序”逐年来源URL；产业与抓手为研究判断"</x:f>
        <x:v>详见“2020-2025时序”逐年来源URL；产业与抓手为研究判断</x:v>
      </x:c>
    </x:row>
    <x:row r="16">
      <x:c r="A16" s="16" t="str">
        <x:v>九江市</x:v>
      </x:c>
      <x:c r="B16" s="16" t="str">
        <x:v>彭泽县</x:v>
      </x:c>
      <x:c r="C16" s="16" t="str">
        <x:v>化工、新材料、纺织、港口农业</x:v>
      </x:c>
      <x:c r="D16" s="16" t="str">
        <x:v>B</x:v>
      </x:c>
      <x:c r="E16" s="16" t="str">
        <x:v>转型型</x:v>
      </x:c>
      <x:c r="F16" s="16" t="str">
        <x:v>沿江工业、港口物流</x:v>
      </x:c>
      <x:c r="G16" s="18" t="n">
        <x:v>68</x:v>
      </x:c>
      <x:c r="H16" s="18" t="n">
        <x:v>46</x:v>
      </x:c>
      <x:c r="I16" s="18" t="str">
        <x:f>IF(COUNTIFS('2020-2025时序'!$B$2:$B$439,$B16,'2020-2025时序'!$C$2:$C$439,2020,'2020-2025时序'!$D$2:$D$439,"&gt;0")=0,"",SUMIFS('2020-2025时序'!$D$2:$D$439,'2020-2025时序'!$B$2:$B$439,$B16,'2020-2025时序'!$C$2:$C$439,2020))</x:f>
      </x:c>
      <x:c r="J16" s="18" t="str">
        <x:f>IF(COUNTIFS('2020-2025时序'!$B$2:$B$439,$B16,'2020-2025时序'!$C$2:$C$439,2025,'2020-2025时序'!$D$2:$D$439,"&gt;0")=0,"",SUMIFS('2020-2025时序'!$D$2:$D$439,'2020-2025时序'!$B$2:$B$439,$B16,'2020-2025时序'!$C$2:$C$439,2025))</x:f>
      </x:c>
      <x:c r="K16" s="40" t="str">
        <x:f>IF(OR(I16="",J16=""),"",POWER(J16/I16,1/5)-1)</x:f>
      </x:c>
      <x:c r="L16" s="18" t="str">
        <x:f>IF(COUNTIFS('2020-2025时序'!$B$2:$B$439,$B16,'2020-2025时序'!$C$2:$C$439,2020,'2020-2025时序'!$E$2:$E$439,"&gt;0")=0,"",SUMIFS('2020-2025时序'!$E$2:$E$439,'2020-2025时序'!$B$2:$B$439,$B16,'2020-2025时序'!$C$2:$C$439,2020))</x:f>
      </x:c>
      <x:c r="M16" s="18" t="str">
        <x:f>IF(COUNTIFS('2020-2025时序'!$B$2:$B$439,$B16,'2020-2025时序'!$C$2:$C$439,2025,'2020-2025时序'!$E$2:$E$439,"&gt;0")=0,"",SUMIFS('2020-2025时序'!$E$2:$E$439,'2020-2025时序'!$B$2:$B$439,$B16,'2020-2025时序'!$C$2:$C$439,2025))</x:f>
      </x:c>
      <x:c r="N16" s="18" t="str">
        <x:f>IF(COUNTIFS('2020-2025时序'!$B$2:$B$439,$B16,'2020-2025时序'!$C$2:$C$439,2020,'2020-2025时序'!$F$2:$F$439,"&gt;0")=0,"",SUMIFS('2020-2025时序'!$F$2:$F$439,'2020-2025时序'!$B$2:$B$439,$B16,'2020-2025时序'!$C$2:$C$439,2020))</x:f>
      </x:c>
      <x:c r="O16" s="18" t="str">
        <x:f>IF(COUNTIFS('2020-2025时序'!$B$2:$B$439,$B16,'2020-2025时序'!$C$2:$C$439,2025,'2020-2025时序'!$F$2:$F$439,"&gt;0")=0,"",SUMIFS('2020-2025时序'!$F$2:$F$439,'2020-2025时序'!$B$2:$B$439,$B16,'2020-2025时序'!$C$2:$C$439,2025))</x:f>
      </x:c>
      <x:c r="P16" s="18" t="str">
        <x:f>IF(COUNTIFS('2020-2025时序'!$B$2:$B$439,$B16,'2020-2025时序'!$C$2:$C$439,2025,'2020-2025时序'!$G$2:$G$439,"&gt;0")=0,"",SUMIFS('2020-2025时序'!$G$2:$G$439,'2020-2025时序'!$B$2:$B$439,$B16,'2020-2025时序'!$C$2:$C$439,2025))</x:f>
      </x:c>
      <x:c r="Q16" s="18" t="str">
        <x:f>IF(COUNTIFS('2020-2025时序'!$B$2:$B$439,$B16,'2020-2025时序'!$C$2:$C$439,2025,'2020-2025时序'!$H$2:$H$439,"&gt;0")=0,"",SUMIFS('2020-2025时序'!$H$2:$H$439,'2020-2025时序'!$B$2:$B$439,$B16,'2020-2025时序'!$C$2:$C$439,2025))</x:f>
      </x:c>
      <x:c r="R16" s="18" t="str">
        <x:f>IF(COUNTIFS('2020-2025时序'!$B$2:$B$439,$B16,'2020-2025时序'!$C$2:$C$439,2025,'2020-2025时序'!$L$2:$L$439,"&gt;0")=0,"",SUMIFS('2020-2025时序'!$L$2:$L$439,'2020-2025时序'!$B$2:$B$439,$B16,'2020-2025时序'!$C$2:$C$439,2025))</x:f>
      </x:c>
      <x:c r="S16" s="18" t="str">
        <x:f>IF(COUNTIFS('2020-2025时序'!$B$2:$B$439,$B16,'2020-2025时序'!$C$2:$C$439,2025,'2020-2025时序'!$J$2:$J$439,"&gt;0")=0,"",SUMIFS('2020-2025时序'!$J$2:$J$439,'2020-2025时序'!$B$2:$B$439,$B16,'2020-2025时序'!$C$2:$C$439,2025))</x:f>
      </x:c>
      <x:c r="T16" s="41" t="str">
        <x:f>IF(OR(L16="",M16=""),"",IF(OR(N16="",O16=""),MIN(100,MAX(0,-(M16/L16-1)/0.10*100)),0.7*MIN(100,MAX(0,-(M16/L16-1)/0.10*100))+0.3*MIN(100,MAX(0,-(O16/N16-1)/0.50*100))))</x:f>
      </x:c>
      <x:c r="U16" s="41" t="str">
        <x:f>IF(OR(P16="",Q16="",Q16=0),"",MIN(100,MAX(0,100*(1-P16/Q16))))</x:f>
      </x:c>
      <x:c r="V16" s="41" t="str">
        <x:f>IFERROR(MIN(100,100*SUMIFS('2020-2025时序'!$O$2:$O$439,'2020-2025时序'!$B$2:$B$439,$B16,'2020-2025时序'!$C$2:$C$439,2025)/SUMIFS('2020-2025时序'!$J$2:$J$439,'2020-2025时序'!$B$2:$B$439,$B16,'2020-2025时序'!$C$2:$C$439,2025)),"")</x:f>
      </x:c>
      <x:c r="W16" s="41" t="str">
        <x:f>IF(OR(R16="",J16="",J16=0),"",MIN(100,100*R16/J16))</x:f>
      </x:c>
      <x:c r="X16" s="41" t="str">
        <x:f>IF(OR(K16="",T16="",U16="",W16=""),"",0.25*MIN(100,MAX(20,20+K16/0.08*80))+0.20*(100-T16)+0.20*(100-U16)+0.15*G16+0.10*(100-W16)+0.10*G16)</x:f>
      </x:c>
      <x:c r="Y16" s="41" t="n">
        <x:f>ROUND(100*COUNT(I16:S16)/11,0)</x:f>
        <x:v>0</x:v>
      </x:c>
      <x:c r="Z16" s="16" t="str">
        <x:f>IF(AND(J16&lt;&gt;"",K16&gt;0,M16&lt;&gt;"",L16&lt;&gt;"",M16&lt;L16),"表面增长/人口收缩",IF(AND(U16&lt;&gt;"",U16&gt;=80),"财政高度依赖",IF(E16="收缩风险","结构性收缩风险",IF(H16&gt;=75,"单一产业集中风险",""))))</x:f>
      </x:c>
      <x:c r="AA16" s="16" t="str">
        <x:f>"详见“2020-2025时序”逐年来源URL；产业与抓手为研究判断"</x:f>
        <x:v>详见“2020-2025时序”逐年来源URL；产业与抓手为研究判断</x:v>
      </x:c>
    </x:row>
    <x:row r="17">
      <x:c r="A17" s="16" t="str">
        <x:v>九江市</x:v>
      </x:c>
      <x:c r="B17" s="16" t="str">
        <x:v>瑞昌市</x:v>
      </x:c>
      <x:c r="C17" s="16" t="str">
        <x:v>新材料、矿产加工、装备、港口产业</x:v>
      </x:c>
      <x:c r="D17" s="16" t="str">
        <x:v>B+</x:v>
      </x:c>
      <x:c r="E17" s="16" t="str">
        <x:v>转型增长型</x:v>
      </x:c>
      <x:c r="F17" s="16" t="str">
        <x:v>沿江制造、矿业精深加工</x:v>
      </x:c>
      <x:c r="G17" s="18" t="n">
        <x:v>77</x:v>
      </x:c>
      <x:c r="H17" s="18" t="n">
        <x:v>46</x:v>
      </x:c>
      <x:c r="I17" s="18" t="n">
        <x:f>IF(COUNTIFS('2020-2025时序'!$B$2:$B$439,$B17,'2020-2025时序'!$C$2:$C$439,2020,'2020-2025时序'!$D$2:$D$439,"&gt;0")=0,"",SUMIFS('2020-2025时序'!$D$2:$D$439,'2020-2025时序'!$B$2:$B$439,$B17,'2020-2025时序'!$C$2:$C$439,2020))</x:f>
        <x:v>267.2</x:v>
      </x:c>
      <x:c r="J17" s="18" t="str">
        <x:f>IF(COUNTIFS('2020-2025时序'!$B$2:$B$439,$B17,'2020-2025时序'!$C$2:$C$439,2025,'2020-2025时序'!$D$2:$D$439,"&gt;0")=0,"",SUMIFS('2020-2025时序'!$D$2:$D$439,'2020-2025时序'!$B$2:$B$439,$B17,'2020-2025时序'!$C$2:$C$439,2025))</x:f>
      </x:c>
      <x:c r="K17" s="40" t="str">
        <x:f>IF(OR(I17="",J17=""),"",POWER(J17/I17,1/5)-1)</x:f>
      </x:c>
      <x:c r="L17" s="18" t="str">
        <x:f>IF(COUNTIFS('2020-2025时序'!$B$2:$B$439,$B17,'2020-2025时序'!$C$2:$C$439,2020,'2020-2025时序'!$E$2:$E$439,"&gt;0")=0,"",SUMIFS('2020-2025时序'!$E$2:$E$439,'2020-2025时序'!$B$2:$B$439,$B17,'2020-2025时序'!$C$2:$C$439,2020))</x:f>
      </x:c>
      <x:c r="M17" s="18" t="str">
        <x:f>IF(COUNTIFS('2020-2025时序'!$B$2:$B$439,$B17,'2020-2025时序'!$C$2:$C$439,2025,'2020-2025时序'!$E$2:$E$439,"&gt;0")=0,"",SUMIFS('2020-2025时序'!$E$2:$E$439,'2020-2025时序'!$B$2:$B$439,$B17,'2020-2025时序'!$C$2:$C$439,2025))</x:f>
      </x:c>
      <x:c r="N17" s="18" t="str">
        <x:f>IF(COUNTIFS('2020-2025时序'!$B$2:$B$439,$B17,'2020-2025时序'!$C$2:$C$439,2020,'2020-2025时序'!$F$2:$F$439,"&gt;0")=0,"",SUMIFS('2020-2025时序'!$F$2:$F$439,'2020-2025时序'!$B$2:$B$439,$B17,'2020-2025时序'!$C$2:$C$439,2020))</x:f>
      </x:c>
      <x:c r="O17" s="18" t="str">
        <x:f>IF(COUNTIFS('2020-2025时序'!$B$2:$B$439,$B17,'2020-2025时序'!$C$2:$C$439,2025,'2020-2025时序'!$F$2:$F$439,"&gt;0")=0,"",SUMIFS('2020-2025时序'!$F$2:$F$439,'2020-2025时序'!$B$2:$B$439,$B17,'2020-2025时序'!$C$2:$C$439,2025))</x:f>
      </x:c>
      <x:c r="P17" s="18" t="str">
        <x:f>IF(COUNTIFS('2020-2025时序'!$B$2:$B$439,$B17,'2020-2025时序'!$C$2:$C$439,2025,'2020-2025时序'!$G$2:$G$439,"&gt;0")=0,"",SUMIFS('2020-2025时序'!$G$2:$G$439,'2020-2025时序'!$B$2:$B$439,$B17,'2020-2025时序'!$C$2:$C$439,2025))</x:f>
      </x:c>
      <x:c r="Q17" s="18" t="str">
        <x:f>IF(COUNTIFS('2020-2025时序'!$B$2:$B$439,$B17,'2020-2025时序'!$C$2:$C$439,2025,'2020-2025时序'!$H$2:$H$439,"&gt;0")=0,"",SUMIFS('2020-2025时序'!$H$2:$H$439,'2020-2025时序'!$B$2:$B$439,$B17,'2020-2025时序'!$C$2:$C$439,2025))</x:f>
      </x:c>
      <x:c r="R17" s="18" t="str">
        <x:f>IF(COUNTIFS('2020-2025时序'!$B$2:$B$439,$B17,'2020-2025时序'!$C$2:$C$439,2025,'2020-2025时序'!$L$2:$L$439,"&gt;0")=0,"",SUMIFS('2020-2025时序'!$L$2:$L$439,'2020-2025时序'!$B$2:$B$439,$B17,'2020-2025时序'!$C$2:$C$439,2025))</x:f>
      </x:c>
      <x:c r="S17" s="18" t="str">
        <x:f>IF(COUNTIFS('2020-2025时序'!$B$2:$B$439,$B17,'2020-2025时序'!$C$2:$C$439,2025,'2020-2025时序'!$J$2:$J$439,"&gt;0")=0,"",SUMIFS('2020-2025时序'!$J$2:$J$439,'2020-2025时序'!$B$2:$B$439,$B17,'2020-2025时序'!$C$2:$C$439,2025))</x:f>
      </x:c>
      <x:c r="T17" s="41" t="str">
        <x:f>IF(OR(L17="",M17=""),"",IF(OR(N17="",O17=""),MIN(100,MAX(0,-(M17/L17-1)/0.10*100)),0.7*MIN(100,MAX(0,-(M17/L17-1)/0.10*100))+0.3*MIN(100,MAX(0,-(O17/N17-1)/0.50*100))))</x:f>
      </x:c>
      <x:c r="U17" s="41" t="str">
        <x:f>IF(OR(P17="",Q17="",Q17=0),"",MIN(100,MAX(0,100*(1-P17/Q17))))</x:f>
      </x:c>
      <x:c r="V17" s="41" t="str">
        <x:f>IFERROR(MIN(100,100*SUMIFS('2020-2025时序'!$O$2:$O$439,'2020-2025时序'!$B$2:$B$439,$B17,'2020-2025时序'!$C$2:$C$439,2025)/SUMIFS('2020-2025时序'!$J$2:$J$439,'2020-2025时序'!$B$2:$B$439,$B17,'2020-2025时序'!$C$2:$C$439,2025)),"")</x:f>
      </x:c>
      <x:c r="W17" s="41" t="str">
        <x:f>IF(OR(R17="",J17="",J17=0),"",MIN(100,100*R17/J17))</x:f>
      </x:c>
      <x:c r="X17" s="41" t="str">
        <x:f>IF(OR(K17="",T17="",U17="",W17=""),"",0.25*MIN(100,MAX(20,20+K17/0.08*80))+0.20*(100-T17)+0.20*(100-U17)+0.15*G17+0.10*(100-W17)+0.10*G17)</x:f>
      </x:c>
      <x:c r="Y17" s="41" t="n">
        <x:f>ROUND(100*COUNT(I17:S17)/11,0)</x:f>
        <x:v>9</x:v>
      </x:c>
      <x:c r="Z17" s="16" t="str">
        <x:f>IF(AND(J17&lt;&gt;"",K17&gt;0,M17&lt;&gt;"",L17&lt;&gt;"",M17&lt;L17),"表面增长/人口收缩",IF(AND(U17&lt;&gt;"",U17&gt;=80),"财政高度依赖",IF(E17="收缩风险","结构性收缩风险",IF(H17&gt;=75,"单一产业集中风险",""))))</x:f>
      </x:c>
      <x:c r="AA17" s="16" t="str">
        <x:f>"详见“2020-2025时序”逐年来源URL；产业与抓手为研究判断"</x:f>
        <x:v>详见“2020-2025时序”逐年来源URL；产业与抓手为研究判断</x:v>
      </x:c>
    </x:row>
    <x:row r="18">
      <x:c r="A18" s="16" t="str">
        <x:v>九江市</x:v>
      </x:c>
      <x:c r="B18" s="16" t="str">
        <x:v>共青城市</x:v>
      </x:c>
      <x:c r="C18" s="16" t="str">
        <x:v>羽绒服装、电子信息、新材料、数字/低空产业</x:v>
      </x:c>
      <x:c r="D18" s="16" t="str">
        <x:v>A-/B+</x:v>
      </x:c>
      <x:c r="E18" s="16" t="str">
        <x:v>增长型</x:v>
      </x:c>
      <x:c r="F18" s="16" t="str">
        <x:v>南昌都市圈、青年人口、高校、低空经济</x:v>
      </x:c>
      <x:c r="G18" s="18" t="n">
        <x:v>82</x:v>
      </x:c>
      <x:c r="H18" s="18" t="n">
        <x:v>46</x:v>
      </x:c>
      <x:c r="I18" s="18" t="str">
        <x:f>IF(COUNTIFS('2020-2025时序'!$B$2:$B$439,$B18,'2020-2025时序'!$C$2:$C$439,2020,'2020-2025时序'!$D$2:$D$439,"&gt;0")=0,"",SUMIFS('2020-2025时序'!$D$2:$D$439,'2020-2025时序'!$B$2:$B$439,$B18,'2020-2025时序'!$C$2:$C$439,2020))</x:f>
      </x:c>
      <x:c r="J18" s="18" t="str">
        <x:f>IF(COUNTIFS('2020-2025时序'!$B$2:$B$439,$B18,'2020-2025时序'!$C$2:$C$439,2025,'2020-2025时序'!$D$2:$D$439,"&gt;0")=0,"",SUMIFS('2020-2025时序'!$D$2:$D$439,'2020-2025时序'!$B$2:$B$439,$B18,'2020-2025时序'!$C$2:$C$439,2025))</x:f>
      </x:c>
      <x:c r="K18" s="40" t="str">
        <x:f>IF(OR(I18="",J18=""),"",POWER(J18/I18,1/5)-1)</x:f>
      </x:c>
      <x:c r="L18" s="18" t="str">
        <x:f>IF(COUNTIFS('2020-2025时序'!$B$2:$B$439,$B18,'2020-2025时序'!$C$2:$C$439,2020,'2020-2025时序'!$E$2:$E$439,"&gt;0")=0,"",SUMIFS('2020-2025时序'!$E$2:$E$439,'2020-2025时序'!$B$2:$B$439,$B18,'2020-2025时序'!$C$2:$C$439,2020))</x:f>
      </x:c>
      <x:c r="M18" s="18" t="str">
        <x:f>IF(COUNTIFS('2020-2025时序'!$B$2:$B$439,$B18,'2020-2025时序'!$C$2:$C$439,2025,'2020-2025时序'!$E$2:$E$439,"&gt;0")=0,"",SUMIFS('2020-2025时序'!$E$2:$E$439,'2020-2025时序'!$B$2:$B$439,$B18,'2020-2025时序'!$C$2:$C$439,2025))</x:f>
      </x:c>
      <x:c r="N18" s="18" t="str">
        <x:f>IF(COUNTIFS('2020-2025时序'!$B$2:$B$439,$B18,'2020-2025时序'!$C$2:$C$439,2020,'2020-2025时序'!$F$2:$F$439,"&gt;0")=0,"",SUMIFS('2020-2025时序'!$F$2:$F$439,'2020-2025时序'!$B$2:$B$439,$B18,'2020-2025时序'!$C$2:$C$439,2020))</x:f>
      </x:c>
      <x:c r="O18" s="18" t="str">
        <x:f>IF(COUNTIFS('2020-2025时序'!$B$2:$B$439,$B18,'2020-2025时序'!$C$2:$C$439,2025,'2020-2025时序'!$F$2:$F$439,"&gt;0")=0,"",SUMIFS('2020-2025时序'!$F$2:$F$439,'2020-2025时序'!$B$2:$B$439,$B18,'2020-2025时序'!$C$2:$C$439,2025))</x:f>
      </x:c>
      <x:c r="P18" s="18" t="str">
        <x:f>IF(COUNTIFS('2020-2025时序'!$B$2:$B$439,$B18,'2020-2025时序'!$C$2:$C$439,2025,'2020-2025时序'!$G$2:$G$439,"&gt;0")=0,"",SUMIFS('2020-2025时序'!$G$2:$G$439,'2020-2025时序'!$B$2:$B$439,$B18,'2020-2025时序'!$C$2:$C$439,2025))</x:f>
      </x:c>
      <x:c r="Q18" s="18" t="str">
        <x:f>IF(COUNTIFS('2020-2025时序'!$B$2:$B$439,$B18,'2020-2025时序'!$C$2:$C$439,2025,'2020-2025时序'!$H$2:$H$439,"&gt;0")=0,"",SUMIFS('2020-2025时序'!$H$2:$H$439,'2020-2025时序'!$B$2:$B$439,$B18,'2020-2025时序'!$C$2:$C$439,2025))</x:f>
      </x:c>
      <x:c r="R18" s="18" t="str">
        <x:f>IF(COUNTIFS('2020-2025时序'!$B$2:$B$439,$B18,'2020-2025时序'!$C$2:$C$439,2025,'2020-2025时序'!$L$2:$L$439,"&gt;0")=0,"",SUMIFS('2020-2025时序'!$L$2:$L$439,'2020-2025时序'!$B$2:$B$439,$B18,'2020-2025时序'!$C$2:$C$439,2025))</x:f>
      </x:c>
      <x:c r="S18" s="18" t="str">
        <x:f>IF(COUNTIFS('2020-2025时序'!$B$2:$B$439,$B18,'2020-2025时序'!$C$2:$C$439,2025,'2020-2025时序'!$J$2:$J$439,"&gt;0")=0,"",SUMIFS('2020-2025时序'!$J$2:$J$439,'2020-2025时序'!$B$2:$B$439,$B18,'2020-2025时序'!$C$2:$C$439,2025))</x:f>
      </x:c>
      <x:c r="T18" s="41" t="str">
        <x:f>IF(OR(L18="",M18=""),"",IF(OR(N18="",O18=""),MIN(100,MAX(0,-(M18/L18-1)/0.10*100)),0.7*MIN(100,MAX(0,-(M18/L18-1)/0.10*100))+0.3*MIN(100,MAX(0,-(O18/N18-1)/0.50*100))))</x:f>
      </x:c>
      <x:c r="U18" s="41" t="str">
        <x:f>IF(OR(P18="",Q18="",Q18=0),"",MIN(100,MAX(0,100*(1-P18/Q18))))</x:f>
      </x:c>
      <x:c r="V18" s="41" t="str">
        <x:f>IFERROR(MIN(100,100*SUMIFS('2020-2025时序'!$O$2:$O$439,'2020-2025时序'!$B$2:$B$439,$B18,'2020-2025时序'!$C$2:$C$439,2025)/SUMIFS('2020-2025时序'!$J$2:$J$439,'2020-2025时序'!$B$2:$B$439,$B18,'2020-2025时序'!$C$2:$C$439,2025)),"")</x:f>
      </x:c>
      <x:c r="W18" s="41" t="str">
        <x:f>IF(OR(R18="",J18="",J18=0),"",MIN(100,100*R18/J18))</x:f>
      </x:c>
      <x:c r="X18" s="41" t="str">
        <x:f>IF(OR(K18="",T18="",U18="",W18=""),"",0.25*MIN(100,MAX(20,20+K18/0.08*80))+0.20*(100-T18)+0.20*(100-U18)+0.15*G18+0.10*(100-W18)+0.10*G18)</x:f>
      </x:c>
      <x:c r="Y18" s="41" t="n">
        <x:f>ROUND(100*COUNT(I18:S18)/11,0)</x:f>
        <x:v>0</x:v>
      </x:c>
      <x:c r="Z18" s="16" t="str">
        <x:f>IF(AND(J18&lt;&gt;"",K18&gt;0,M18&lt;&gt;"",L18&lt;&gt;"",M18&lt;L18),"表面增长/人口收缩",IF(AND(U18&lt;&gt;"",U18&gt;=80),"财政高度依赖",IF(E18="收缩风险","结构性收缩风险",IF(H18&gt;=75,"单一产业集中风险",""))))</x:f>
      </x:c>
      <x:c r="AA18" s="16" t="str">
        <x:f>"详见“2020-2025时序”逐年来源URL；产业与抓手为研究判断"</x:f>
        <x:v>详见“2020-2025时序”逐年来源URL；产业与抓手为研究判断</x:v>
      </x:c>
    </x:row>
    <x:row r="19">
      <x:c r="A19" s="16" t="str">
        <x:v>九江市</x:v>
      </x:c>
      <x:c r="B19" s="16" t="str">
        <x:v>庐山市</x:v>
      </x:c>
      <x:c r="C19" s="16" t="str">
        <x:v>旅游、住宿餐饮、农产品</x:v>
      </x:c>
      <x:c r="D19" s="16" t="str">
        <x:v>B-/C+</x:v>
      </x:c>
      <x:c r="E19" s="16" t="str">
        <x:v>承压型</x:v>
      </x:c>
      <x:c r="F19" s="16" t="str">
        <x:v>世界级庐山旅游、康养</x:v>
      </x:c>
      <x:c r="G19" s="18" t="n">
        <x:v>62</x:v>
      </x:c>
      <x:c r="H19" s="18" t="n">
        <x:v>56</x:v>
      </x:c>
      <x:c r="I19" s="18" t="str">
        <x:f>IF(COUNTIFS('2020-2025时序'!$B$2:$B$439,$B19,'2020-2025时序'!$C$2:$C$439,2020,'2020-2025时序'!$D$2:$D$439,"&gt;0")=0,"",SUMIFS('2020-2025时序'!$D$2:$D$439,'2020-2025时序'!$B$2:$B$439,$B19,'2020-2025时序'!$C$2:$C$439,2020))</x:f>
      </x:c>
      <x:c r="J19" s="18" t="str">
        <x:f>IF(COUNTIFS('2020-2025时序'!$B$2:$B$439,$B19,'2020-2025时序'!$C$2:$C$439,2025,'2020-2025时序'!$D$2:$D$439,"&gt;0")=0,"",SUMIFS('2020-2025时序'!$D$2:$D$439,'2020-2025时序'!$B$2:$B$439,$B19,'2020-2025时序'!$C$2:$C$439,2025))</x:f>
      </x:c>
      <x:c r="K19" s="40" t="str">
        <x:f>IF(OR(I19="",J19=""),"",POWER(J19/I19,1/5)-1)</x:f>
      </x:c>
      <x:c r="L19" s="18" t="str">
        <x:f>IF(COUNTIFS('2020-2025时序'!$B$2:$B$439,$B19,'2020-2025时序'!$C$2:$C$439,2020,'2020-2025时序'!$E$2:$E$439,"&gt;0")=0,"",SUMIFS('2020-2025时序'!$E$2:$E$439,'2020-2025时序'!$B$2:$B$439,$B19,'2020-2025时序'!$C$2:$C$439,2020))</x:f>
      </x:c>
      <x:c r="M19" s="18" t="str">
        <x:f>IF(COUNTIFS('2020-2025时序'!$B$2:$B$439,$B19,'2020-2025时序'!$C$2:$C$439,2025,'2020-2025时序'!$E$2:$E$439,"&gt;0")=0,"",SUMIFS('2020-2025时序'!$E$2:$E$439,'2020-2025时序'!$B$2:$B$439,$B19,'2020-2025时序'!$C$2:$C$439,2025))</x:f>
      </x:c>
      <x:c r="N19" s="18" t="str">
        <x:f>IF(COUNTIFS('2020-2025时序'!$B$2:$B$439,$B19,'2020-2025时序'!$C$2:$C$439,2020,'2020-2025时序'!$F$2:$F$439,"&gt;0")=0,"",SUMIFS('2020-2025时序'!$F$2:$F$439,'2020-2025时序'!$B$2:$B$439,$B19,'2020-2025时序'!$C$2:$C$439,2020))</x:f>
      </x:c>
      <x:c r="O19" s="18" t="str">
        <x:f>IF(COUNTIFS('2020-2025时序'!$B$2:$B$439,$B19,'2020-2025时序'!$C$2:$C$439,2025,'2020-2025时序'!$F$2:$F$439,"&gt;0")=0,"",SUMIFS('2020-2025时序'!$F$2:$F$439,'2020-2025时序'!$B$2:$B$439,$B19,'2020-2025时序'!$C$2:$C$439,2025))</x:f>
      </x:c>
      <x:c r="P19" s="18" t="str">
        <x:f>IF(COUNTIFS('2020-2025时序'!$B$2:$B$439,$B19,'2020-2025时序'!$C$2:$C$439,2025,'2020-2025时序'!$G$2:$G$439,"&gt;0")=0,"",SUMIFS('2020-2025时序'!$G$2:$G$439,'2020-2025时序'!$B$2:$B$439,$B19,'2020-2025时序'!$C$2:$C$439,2025))</x:f>
      </x:c>
      <x:c r="Q19" s="18" t="str">
        <x:f>IF(COUNTIFS('2020-2025时序'!$B$2:$B$439,$B19,'2020-2025时序'!$C$2:$C$439,2025,'2020-2025时序'!$H$2:$H$439,"&gt;0")=0,"",SUMIFS('2020-2025时序'!$H$2:$H$439,'2020-2025时序'!$B$2:$B$439,$B19,'2020-2025时序'!$C$2:$C$439,2025))</x:f>
      </x:c>
      <x:c r="R19" s="18" t="str">
        <x:f>IF(COUNTIFS('2020-2025时序'!$B$2:$B$439,$B19,'2020-2025时序'!$C$2:$C$439,2025,'2020-2025时序'!$L$2:$L$439,"&gt;0")=0,"",SUMIFS('2020-2025时序'!$L$2:$L$439,'2020-2025时序'!$B$2:$B$439,$B19,'2020-2025时序'!$C$2:$C$439,2025))</x:f>
      </x:c>
      <x:c r="S19" s="18" t="str">
        <x:f>IF(COUNTIFS('2020-2025时序'!$B$2:$B$439,$B19,'2020-2025时序'!$C$2:$C$439,2025,'2020-2025时序'!$J$2:$J$439,"&gt;0")=0,"",SUMIFS('2020-2025时序'!$J$2:$J$439,'2020-2025时序'!$B$2:$B$439,$B19,'2020-2025时序'!$C$2:$C$439,2025))</x:f>
      </x:c>
      <x:c r="T19" s="41" t="str">
        <x:f>IF(OR(L19="",M19=""),"",IF(OR(N19="",O19=""),MIN(100,MAX(0,-(M19/L19-1)/0.10*100)),0.7*MIN(100,MAX(0,-(M19/L19-1)/0.10*100))+0.3*MIN(100,MAX(0,-(O19/N19-1)/0.50*100))))</x:f>
      </x:c>
      <x:c r="U19" s="41" t="str">
        <x:f>IF(OR(P19="",Q19="",Q19=0),"",MIN(100,MAX(0,100*(1-P19/Q19))))</x:f>
      </x:c>
      <x:c r="V19" s="41" t="str">
        <x:f>IFERROR(MIN(100,100*SUMIFS('2020-2025时序'!$O$2:$O$439,'2020-2025时序'!$B$2:$B$439,$B19,'2020-2025时序'!$C$2:$C$439,2025)/SUMIFS('2020-2025时序'!$J$2:$J$439,'2020-2025时序'!$B$2:$B$439,$B19,'2020-2025时序'!$C$2:$C$439,2025)),"")</x:f>
      </x:c>
      <x:c r="W19" s="41" t="str">
        <x:f>IF(OR(R19="",J19="",J19=0),"",MIN(100,100*R19/J19))</x:f>
      </x:c>
      <x:c r="X19" s="41" t="str">
        <x:f>IF(OR(K19="",T19="",U19="",W19=""),"",0.25*MIN(100,MAX(20,20+K19/0.08*80))+0.20*(100-T19)+0.20*(100-U19)+0.15*G19+0.10*(100-W19)+0.10*G19)</x:f>
      </x:c>
      <x:c r="Y19" s="41" t="n">
        <x:f>ROUND(100*COUNT(I19:S19)/11,0)</x:f>
        <x:v>0</x:v>
      </x:c>
      <x:c r="Z19" s="16" t="str">
        <x:f>IF(AND(J19&lt;&gt;"",K19&gt;0,M19&lt;&gt;"",L19&lt;&gt;"",M19&lt;L19),"表面增长/人口收缩",IF(AND(U19&lt;&gt;"",U19&gt;=80),"财政高度依赖",IF(E19="收缩风险","结构性收缩风险",IF(H19&gt;=75,"单一产业集中风险",""))))</x:f>
      </x:c>
      <x:c r="AA19" s="16" t="str">
        <x:f>"详见“2020-2025时序”逐年来源URL；产业与抓手为研究判断"</x:f>
        <x:v>详见“2020-2025时序”逐年来源URL；产业与抓手为研究判断</x:v>
      </x:c>
    </x:row>
    <x:row r="20">
      <x:c r="A20" s="16" t="str">
        <x:v>新余市</x:v>
      </x:c>
      <x:c r="B20" s="16" t="str">
        <x:v>分宜县</x:v>
      </x:c>
      <x:c r="C20" s="16" t="str">
        <x:v>钢铁关联、新材料、麻纺/农业加工</x:v>
      </x:c>
      <x:c r="D20" s="16" t="str">
        <x:v>B</x:v>
      </x:c>
      <x:c r="E20" s="16" t="str">
        <x:v>转型型</x:v>
      </x:c>
      <x:c r="F20" s="16" t="str">
        <x:v>新余制造业外溢、新材料</x:v>
      </x:c>
      <x:c r="G20" s="18" t="n">
        <x:v>68</x:v>
      </x:c>
      <x:c r="H20" s="18" t="n">
        <x:v>56</x:v>
      </x:c>
      <x:c r="I20" s="18" t="str">
        <x:f>IF(COUNTIFS('2020-2025时序'!$B$2:$B$439,$B20,'2020-2025时序'!$C$2:$C$439,2020,'2020-2025时序'!$D$2:$D$439,"&gt;0")=0,"",SUMIFS('2020-2025时序'!$D$2:$D$439,'2020-2025时序'!$B$2:$B$439,$B20,'2020-2025时序'!$C$2:$C$439,2020))</x:f>
      </x:c>
      <x:c r="J20" s="18" t="str">
        <x:f>IF(COUNTIFS('2020-2025时序'!$B$2:$B$439,$B20,'2020-2025时序'!$C$2:$C$439,2025,'2020-2025时序'!$D$2:$D$439,"&gt;0")=0,"",SUMIFS('2020-2025时序'!$D$2:$D$439,'2020-2025时序'!$B$2:$B$439,$B20,'2020-2025时序'!$C$2:$C$439,2025))</x:f>
      </x:c>
      <x:c r="K20" s="40" t="str">
        <x:f>IF(OR(I20="",J20=""),"",POWER(J20/I20,1/5)-1)</x:f>
      </x:c>
      <x:c r="L20" s="18" t="str">
        <x:f>IF(COUNTIFS('2020-2025时序'!$B$2:$B$439,$B20,'2020-2025时序'!$C$2:$C$439,2020,'2020-2025时序'!$E$2:$E$439,"&gt;0")=0,"",SUMIFS('2020-2025时序'!$E$2:$E$439,'2020-2025时序'!$B$2:$B$439,$B20,'2020-2025时序'!$C$2:$C$439,2020))</x:f>
      </x:c>
      <x:c r="M20" s="18" t="str">
        <x:f>IF(COUNTIFS('2020-2025时序'!$B$2:$B$439,$B20,'2020-2025时序'!$C$2:$C$439,2025,'2020-2025时序'!$E$2:$E$439,"&gt;0")=0,"",SUMIFS('2020-2025时序'!$E$2:$E$439,'2020-2025时序'!$B$2:$B$439,$B20,'2020-2025时序'!$C$2:$C$439,2025))</x:f>
      </x:c>
      <x:c r="N20" s="18" t="str">
        <x:f>IF(COUNTIFS('2020-2025时序'!$B$2:$B$439,$B20,'2020-2025时序'!$C$2:$C$439,2020,'2020-2025时序'!$F$2:$F$439,"&gt;0")=0,"",SUMIFS('2020-2025时序'!$F$2:$F$439,'2020-2025时序'!$B$2:$B$439,$B20,'2020-2025时序'!$C$2:$C$439,2020))</x:f>
      </x:c>
      <x:c r="O20" s="18" t="str">
        <x:f>IF(COUNTIFS('2020-2025时序'!$B$2:$B$439,$B20,'2020-2025时序'!$C$2:$C$439,2025,'2020-2025时序'!$F$2:$F$439,"&gt;0")=0,"",SUMIFS('2020-2025时序'!$F$2:$F$439,'2020-2025时序'!$B$2:$B$439,$B20,'2020-2025时序'!$C$2:$C$439,2025))</x:f>
      </x:c>
      <x:c r="P20" s="18" t="str">
        <x:f>IF(COUNTIFS('2020-2025时序'!$B$2:$B$439,$B20,'2020-2025时序'!$C$2:$C$439,2025,'2020-2025时序'!$G$2:$G$439,"&gt;0")=0,"",SUMIFS('2020-2025时序'!$G$2:$G$439,'2020-2025时序'!$B$2:$B$439,$B20,'2020-2025时序'!$C$2:$C$439,2025))</x:f>
      </x:c>
      <x:c r="Q20" s="18" t="str">
        <x:f>IF(COUNTIFS('2020-2025时序'!$B$2:$B$439,$B20,'2020-2025时序'!$C$2:$C$439,2025,'2020-2025时序'!$H$2:$H$439,"&gt;0")=0,"",SUMIFS('2020-2025时序'!$H$2:$H$439,'2020-2025时序'!$B$2:$B$439,$B20,'2020-2025时序'!$C$2:$C$439,2025))</x:f>
      </x:c>
      <x:c r="R20" s="18" t="str">
        <x:f>IF(COUNTIFS('2020-2025时序'!$B$2:$B$439,$B20,'2020-2025时序'!$C$2:$C$439,2025,'2020-2025时序'!$L$2:$L$439,"&gt;0")=0,"",SUMIFS('2020-2025时序'!$L$2:$L$439,'2020-2025时序'!$B$2:$B$439,$B20,'2020-2025时序'!$C$2:$C$439,2025))</x:f>
      </x:c>
      <x:c r="S20" s="18" t="str">
        <x:f>IF(COUNTIFS('2020-2025时序'!$B$2:$B$439,$B20,'2020-2025时序'!$C$2:$C$439,2025,'2020-2025时序'!$J$2:$J$439,"&gt;0")=0,"",SUMIFS('2020-2025时序'!$J$2:$J$439,'2020-2025时序'!$B$2:$B$439,$B20,'2020-2025时序'!$C$2:$C$439,2025))</x:f>
      </x:c>
      <x:c r="T20" s="41" t="str">
        <x:f>IF(OR(L20="",M20=""),"",IF(OR(N20="",O20=""),MIN(100,MAX(0,-(M20/L20-1)/0.10*100)),0.7*MIN(100,MAX(0,-(M20/L20-1)/0.10*100))+0.3*MIN(100,MAX(0,-(O20/N20-1)/0.50*100))))</x:f>
      </x:c>
      <x:c r="U20" s="41" t="str">
        <x:f>IF(OR(P20="",Q20="",Q20=0),"",MIN(100,MAX(0,100*(1-P20/Q20))))</x:f>
      </x:c>
      <x:c r="V20" s="41" t="str">
        <x:f>IFERROR(MIN(100,100*SUMIFS('2020-2025时序'!$O$2:$O$439,'2020-2025时序'!$B$2:$B$439,$B20,'2020-2025时序'!$C$2:$C$439,2025)/SUMIFS('2020-2025时序'!$J$2:$J$439,'2020-2025时序'!$B$2:$B$439,$B20,'2020-2025时序'!$C$2:$C$439,2025)),"")</x:f>
      </x:c>
      <x:c r="W20" s="41" t="str">
        <x:f>IF(OR(R20="",J20="",J20=0),"",MIN(100,100*R20/J20))</x:f>
      </x:c>
      <x:c r="X20" s="41" t="str">
        <x:f>IF(OR(K20="",T20="",U20="",W20=""),"",0.25*MIN(100,MAX(20,20+K20/0.08*80))+0.20*(100-T20)+0.20*(100-U20)+0.15*G20+0.10*(100-W20)+0.10*G20)</x:f>
      </x:c>
      <x:c r="Y20" s="41" t="n">
        <x:f>ROUND(100*COUNT(I20:S20)/11,0)</x:f>
        <x:v>0</x:v>
      </x:c>
      <x:c r="Z20" s="16" t="str">
        <x:f>IF(AND(J20&lt;&gt;"",K20&gt;0,M20&lt;&gt;"",L20&lt;&gt;"",M20&lt;L20),"表面增长/人口收缩",IF(AND(U20&lt;&gt;"",U20&gt;=80),"财政高度依赖",IF(E20="收缩风险","结构性收缩风险",IF(H20&gt;=75,"单一产业集中风险",""))))</x:f>
      </x:c>
      <x:c r="AA20" s="16" t="str">
        <x:f>"详见“2020-2025时序”逐年来源URL；产业与抓手为研究判断"</x:f>
        <x:v>详见“2020-2025时序”逐年来源URL；产业与抓手为研究判断</x:v>
      </x:c>
    </x:row>
    <x:row r="21">
      <x:c r="A21" s="16" t="str">
        <x:v>鹰潭市</x:v>
      </x:c>
      <x:c r="B21" s="16" t="str">
        <x:v>贵溪市</x:v>
      </x:c>
      <x:c r="C21" s="16" t="str">
        <x:v>铜冶炼、铜基新材料、电子材料</x:v>
      </x:c>
      <x:c r="D21" s="16" t="str">
        <x:v>A</x:v>
      </x:c>
      <x:c r="E21" s="16" t="str">
        <x:v>增长型</x:v>
      </x:c>
      <x:c r="F21" s="16" t="str">
        <x:v>铜精深加工、电子铜材</x:v>
      </x:c>
      <x:c r="G21" s="18" t="n">
        <x:v>90</x:v>
      </x:c>
      <x:c r="H21" s="18" t="n">
        <x:v>76</x:v>
      </x:c>
      <x:c r="I21" s="18" t="n">
        <x:f>IF(COUNTIFS('2020-2025时序'!$B$2:$B$439,$B21,'2020-2025时序'!$C$2:$C$439,2020,'2020-2025时序'!$D$2:$D$439,"&gt;0")=0,"",SUMIFS('2020-2025时序'!$D$2:$D$439,'2020-2025时序'!$B$2:$B$439,$B21,'2020-2025时序'!$C$2:$C$439,2020))</x:f>
        <x:v>506.2</x:v>
      </x:c>
      <x:c r="J21" s="18" t="str">
        <x:f>IF(COUNTIFS('2020-2025时序'!$B$2:$B$439,$B21,'2020-2025时序'!$C$2:$C$439,2025,'2020-2025时序'!$D$2:$D$439,"&gt;0")=0,"",SUMIFS('2020-2025时序'!$D$2:$D$439,'2020-2025时序'!$B$2:$B$439,$B21,'2020-2025时序'!$C$2:$C$439,2025))</x:f>
      </x:c>
      <x:c r="K21" s="40" t="str">
        <x:f>IF(OR(I21="",J21=""),"",POWER(J21/I21,1/5)-1)</x:f>
      </x:c>
      <x:c r="L21" s="18" t="str">
        <x:f>IF(COUNTIFS('2020-2025时序'!$B$2:$B$439,$B21,'2020-2025时序'!$C$2:$C$439,2020,'2020-2025时序'!$E$2:$E$439,"&gt;0")=0,"",SUMIFS('2020-2025时序'!$E$2:$E$439,'2020-2025时序'!$B$2:$B$439,$B21,'2020-2025时序'!$C$2:$C$439,2020))</x:f>
      </x:c>
      <x:c r="M21" s="18" t="str">
        <x:f>IF(COUNTIFS('2020-2025时序'!$B$2:$B$439,$B21,'2020-2025时序'!$C$2:$C$439,2025,'2020-2025时序'!$E$2:$E$439,"&gt;0")=0,"",SUMIFS('2020-2025时序'!$E$2:$E$439,'2020-2025时序'!$B$2:$B$439,$B21,'2020-2025时序'!$C$2:$C$439,2025))</x:f>
      </x:c>
      <x:c r="N21" s="18" t="str">
        <x:f>IF(COUNTIFS('2020-2025时序'!$B$2:$B$439,$B21,'2020-2025时序'!$C$2:$C$439,2020,'2020-2025时序'!$F$2:$F$439,"&gt;0")=0,"",SUMIFS('2020-2025时序'!$F$2:$F$439,'2020-2025时序'!$B$2:$B$439,$B21,'2020-2025时序'!$C$2:$C$439,2020))</x:f>
      </x:c>
      <x:c r="O21" s="18" t="str">
        <x:f>IF(COUNTIFS('2020-2025时序'!$B$2:$B$439,$B21,'2020-2025时序'!$C$2:$C$439,2025,'2020-2025时序'!$F$2:$F$439,"&gt;0")=0,"",SUMIFS('2020-2025时序'!$F$2:$F$439,'2020-2025时序'!$B$2:$B$439,$B21,'2020-2025时序'!$C$2:$C$439,2025))</x:f>
      </x:c>
      <x:c r="P21" s="18" t="str">
        <x:f>IF(COUNTIFS('2020-2025时序'!$B$2:$B$439,$B21,'2020-2025时序'!$C$2:$C$439,2025,'2020-2025时序'!$G$2:$G$439,"&gt;0")=0,"",SUMIFS('2020-2025时序'!$G$2:$G$439,'2020-2025时序'!$B$2:$B$439,$B21,'2020-2025时序'!$C$2:$C$439,2025))</x:f>
      </x:c>
      <x:c r="Q21" s="18" t="str">
        <x:f>IF(COUNTIFS('2020-2025时序'!$B$2:$B$439,$B21,'2020-2025时序'!$C$2:$C$439,2025,'2020-2025时序'!$H$2:$H$439,"&gt;0")=0,"",SUMIFS('2020-2025时序'!$H$2:$H$439,'2020-2025时序'!$B$2:$B$439,$B21,'2020-2025时序'!$C$2:$C$439,2025))</x:f>
      </x:c>
      <x:c r="R21" s="18" t="str">
        <x:f>IF(COUNTIFS('2020-2025时序'!$B$2:$B$439,$B21,'2020-2025时序'!$C$2:$C$439,2025,'2020-2025时序'!$L$2:$L$439,"&gt;0")=0,"",SUMIFS('2020-2025时序'!$L$2:$L$439,'2020-2025时序'!$B$2:$B$439,$B21,'2020-2025时序'!$C$2:$C$439,2025))</x:f>
      </x:c>
      <x:c r="S21" s="18" t="str">
        <x:f>IF(COUNTIFS('2020-2025时序'!$B$2:$B$439,$B21,'2020-2025时序'!$C$2:$C$439,2025,'2020-2025时序'!$J$2:$J$439,"&gt;0")=0,"",SUMIFS('2020-2025时序'!$J$2:$J$439,'2020-2025时序'!$B$2:$B$439,$B21,'2020-2025时序'!$C$2:$C$439,2025))</x:f>
      </x:c>
      <x:c r="T21" s="41" t="str">
        <x:f>IF(OR(L21="",M21=""),"",IF(OR(N21="",O21=""),MIN(100,MAX(0,-(M21/L21-1)/0.10*100)),0.7*MIN(100,MAX(0,-(M21/L21-1)/0.10*100))+0.3*MIN(100,MAX(0,-(O21/N21-1)/0.50*100))))</x:f>
      </x:c>
      <x:c r="U21" s="41" t="str">
        <x:f>IF(OR(P21="",Q21="",Q21=0),"",MIN(100,MAX(0,100*(1-P21/Q21))))</x:f>
      </x:c>
      <x:c r="V21" s="41" t="str">
        <x:f>IFERROR(MIN(100,100*SUMIFS('2020-2025时序'!$O$2:$O$439,'2020-2025时序'!$B$2:$B$439,$B21,'2020-2025时序'!$C$2:$C$439,2025)/SUMIFS('2020-2025时序'!$J$2:$J$439,'2020-2025时序'!$B$2:$B$439,$B21,'2020-2025时序'!$C$2:$C$439,2025)),"")</x:f>
      </x:c>
      <x:c r="W21" s="41" t="str">
        <x:f>IF(OR(R21="",J21="",J21=0),"",MIN(100,100*R21/J21))</x:f>
      </x:c>
      <x:c r="X21" s="41" t="str">
        <x:f>IF(OR(K21="",T21="",U21="",W21=""),"",0.25*MIN(100,MAX(20,20+K21/0.08*80))+0.20*(100-T21)+0.20*(100-U21)+0.15*G21+0.10*(100-W21)+0.10*G21)</x:f>
      </x:c>
      <x:c r="Y21" s="41" t="n">
        <x:f>ROUND(100*COUNT(I21:S21)/11,0)</x:f>
        <x:v>9</x:v>
      </x:c>
      <x:c r="Z21" s="16" t="str">
        <x:f>IF(AND(J21&lt;&gt;"",K21&gt;0,M21&lt;&gt;"",L21&lt;&gt;"",M21&lt;L21),"表面增长/人口收缩",IF(AND(U21&lt;&gt;"",U21&gt;=80),"财政高度依赖",IF(E21="收缩风险","结构性收缩风险",IF(H21&gt;=75,"单一产业集中风险",""))))</x:f>
        <x:v>单一产业集中风险</x:v>
      </x:c>
      <x:c r="AA21" s="16" t="str">
        <x:f>"详见“2020-2025时序”逐年来源URL；产业与抓手为研究判断"</x:f>
        <x:v>详见“2020-2025时序”逐年来源URL；产业与抓手为研究判断</x:v>
      </x:c>
    </x:row>
    <x:row r="22">
      <x:c r="A22" s="16" t="str">
        <x:v>赣州市</x:v>
      </x:c>
      <x:c r="B22" s="16" t="str">
        <x:v>大余县</x:v>
      </x:c>
      <x:c r="C22" s="16" t="str">
        <x:v>钨、新材料、食品、旅游</x:v>
      </x:c>
      <x:c r="D22" s="16" t="str">
        <x:v>B-/C+</x:v>
      </x:c>
      <x:c r="E22" s="16" t="str">
        <x:v>承压型</x:v>
      </x:c>
      <x:c r="F22" s="16" t="str">
        <x:v>钨精深加工、文旅</x:v>
      </x:c>
      <x:c r="G22" s="18" t="n">
        <x:v>62</x:v>
      </x:c>
      <x:c r="H22" s="18" t="n">
        <x:v>66</x:v>
      </x:c>
      <x:c r="I22" s="18" t="n">
        <x:f>IF(COUNTIFS('2020-2025时序'!$B$2:$B$439,$B22,'2020-2025时序'!$C$2:$C$439,2020,'2020-2025时序'!$D$2:$D$439,"&gt;0")=0,"",SUMIFS('2020-2025时序'!$D$2:$D$439,'2020-2025时序'!$B$2:$B$439,$B22,'2020-2025时序'!$C$2:$C$439,2020))</x:f>
        <x:v>110.9422</x:v>
      </x:c>
      <x:c r="J22" s="18" t="str">
        <x:f>IF(COUNTIFS('2020-2025时序'!$B$2:$B$439,$B22,'2020-2025时序'!$C$2:$C$439,2025,'2020-2025时序'!$D$2:$D$439,"&gt;0")=0,"",SUMIFS('2020-2025时序'!$D$2:$D$439,'2020-2025时序'!$B$2:$B$439,$B22,'2020-2025时序'!$C$2:$C$439,2025))</x:f>
      </x:c>
      <x:c r="K22" s="40" t="str">
        <x:f>IF(OR(I22="",J22=""),"",POWER(J22/I22,1/5)-1)</x:f>
      </x:c>
      <x:c r="L22" s="18" t="str">
        <x:f>IF(COUNTIFS('2020-2025时序'!$B$2:$B$439,$B22,'2020-2025时序'!$C$2:$C$439,2020,'2020-2025时序'!$E$2:$E$439,"&gt;0")=0,"",SUMIFS('2020-2025时序'!$E$2:$E$439,'2020-2025时序'!$B$2:$B$439,$B22,'2020-2025时序'!$C$2:$C$439,2020))</x:f>
      </x:c>
      <x:c r="M22" s="18" t="str">
        <x:f>IF(COUNTIFS('2020-2025时序'!$B$2:$B$439,$B22,'2020-2025时序'!$C$2:$C$439,2025,'2020-2025时序'!$E$2:$E$439,"&gt;0")=0,"",SUMIFS('2020-2025时序'!$E$2:$E$439,'2020-2025时序'!$B$2:$B$439,$B22,'2020-2025时序'!$C$2:$C$439,2025))</x:f>
      </x:c>
      <x:c r="N22" s="18" t="str">
        <x:f>IF(COUNTIFS('2020-2025时序'!$B$2:$B$439,$B22,'2020-2025时序'!$C$2:$C$439,2020,'2020-2025时序'!$F$2:$F$439,"&gt;0")=0,"",SUMIFS('2020-2025时序'!$F$2:$F$439,'2020-2025时序'!$B$2:$B$439,$B22,'2020-2025时序'!$C$2:$C$439,2020))</x:f>
      </x:c>
      <x:c r="O22" s="18" t="str">
        <x:f>IF(COUNTIFS('2020-2025时序'!$B$2:$B$439,$B22,'2020-2025时序'!$C$2:$C$439,2025,'2020-2025时序'!$F$2:$F$439,"&gt;0")=0,"",SUMIFS('2020-2025时序'!$F$2:$F$439,'2020-2025时序'!$B$2:$B$439,$B22,'2020-2025时序'!$C$2:$C$439,2025))</x:f>
      </x:c>
      <x:c r="P22" s="18" t="str">
        <x:f>IF(COUNTIFS('2020-2025时序'!$B$2:$B$439,$B22,'2020-2025时序'!$C$2:$C$439,2025,'2020-2025时序'!$G$2:$G$439,"&gt;0")=0,"",SUMIFS('2020-2025时序'!$G$2:$G$439,'2020-2025时序'!$B$2:$B$439,$B22,'2020-2025时序'!$C$2:$C$439,2025))</x:f>
      </x:c>
      <x:c r="Q22" s="18" t="str">
        <x:f>IF(COUNTIFS('2020-2025时序'!$B$2:$B$439,$B22,'2020-2025时序'!$C$2:$C$439,2025,'2020-2025时序'!$H$2:$H$439,"&gt;0")=0,"",SUMIFS('2020-2025时序'!$H$2:$H$439,'2020-2025时序'!$B$2:$B$439,$B22,'2020-2025时序'!$C$2:$C$439,2025))</x:f>
      </x:c>
      <x:c r="R22" s="18" t="str">
        <x:f>IF(COUNTIFS('2020-2025时序'!$B$2:$B$439,$B22,'2020-2025时序'!$C$2:$C$439,2025,'2020-2025时序'!$L$2:$L$439,"&gt;0")=0,"",SUMIFS('2020-2025时序'!$L$2:$L$439,'2020-2025时序'!$B$2:$B$439,$B22,'2020-2025时序'!$C$2:$C$439,2025))</x:f>
      </x:c>
      <x:c r="S22" s="18" t="str">
        <x:f>IF(COUNTIFS('2020-2025时序'!$B$2:$B$439,$B22,'2020-2025时序'!$C$2:$C$439,2025,'2020-2025时序'!$J$2:$J$439,"&gt;0")=0,"",SUMIFS('2020-2025时序'!$J$2:$J$439,'2020-2025时序'!$B$2:$B$439,$B22,'2020-2025时序'!$C$2:$C$439,2025))</x:f>
      </x:c>
      <x:c r="T22" s="41" t="str">
        <x:f>IF(OR(L22="",M22=""),"",IF(OR(N22="",O22=""),MIN(100,MAX(0,-(M22/L22-1)/0.10*100)),0.7*MIN(100,MAX(0,-(M22/L22-1)/0.10*100))+0.3*MIN(100,MAX(0,-(O22/N22-1)/0.50*100))))</x:f>
      </x:c>
      <x:c r="U22" s="41" t="str">
        <x:f>IF(OR(P22="",Q22="",Q22=0),"",MIN(100,MAX(0,100*(1-P22/Q22))))</x:f>
      </x:c>
      <x:c r="V22" s="41" t="str">
        <x:f>IFERROR(MIN(100,100*SUMIFS('2020-2025时序'!$O$2:$O$439,'2020-2025时序'!$B$2:$B$439,$B22,'2020-2025时序'!$C$2:$C$439,2025)/SUMIFS('2020-2025时序'!$J$2:$J$439,'2020-2025时序'!$B$2:$B$439,$B22,'2020-2025时序'!$C$2:$C$439,2025)),"")</x:f>
      </x:c>
      <x:c r="W22" s="41" t="str">
        <x:f>IF(OR(R22="",J22="",J22=0),"",MIN(100,100*R22/J22))</x:f>
      </x:c>
      <x:c r="X22" s="41" t="str">
        <x:f>IF(OR(K22="",T22="",U22="",W22=""),"",0.25*MIN(100,MAX(20,20+K22/0.08*80))+0.20*(100-T22)+0.20*(100-U22)+0.15*G22+0.10*(100-W22)+0.10*G22)</x:f>
      </x:c>
      <x:c r="Y22" s="41" t="n">
        <x:f>ROUND(100*COUNT(I22:S22)/11,0)</x:f>
        <x:v>9</x:v>
      </x:c>
      <x:c r="Z22" s="16" t="str">
        <x:f>IF(AND(J22&lt;&gt;"",K22&gt;0,M22&lt;&gt;"",L22&lt;&gt;"",M22&lt;L22),"表面增长/人口收缩",IF(AND(U22&lt;&gt;"",U22&gt;=80),"财政高度依赖",IF(E22="收缩风险","结构性收缩风险",IF(H22&gt;=75,"单一产业集中风险",""))))</x:f>
      </x:c>
      <x:c r="AA22" s="16" t="str">
        <x:f>"详见“2020-2025时序”逐年来源URL；产业与抓手为研究判断"</x:f>
        <x:v>详见“2020-2025时序”逐年来源URL；产业与抓手为研究判断</x:v>
      </x:c>
    </x:row>
    <x:row r="23">
      <x:c r="A23" s="16" t="str">
        <x:v>赣州市</x:v>
      </x:c>
      <x:c r="B23" s="16" t="str">
        <x:v>上犹县</x:v>
      </x:c>
      <x:c r="C23" s="16" t="str">
        <x:v>玻纤、新材料、电子、旅游</x:v>
      </x:c>
      <x:c r="D23" s="16" t="str">
        <x:v>B+</x:v>
      </x:c>
      <x:c r="E23" s="16" t="str">
        <x:v>转型增长型</x:v>
      </x:c>
      <x:c r="F23" s="16" t="str">
        <x:v>玻纤复材、高端材料</x:v>
      </x:c>
      <x:c r="G23" s="18" t="n">
        <x:v>77</x:v>
      </x:c>
      <x:c r="H23" s="18" t="n">
        <x:v>46</x:v>
      </x:c>
      <x:c r="I23" s="18" t="str">
        <x:f>IF(COUNTIFS('2020-2025时序'!$B$2:$B$439,$B23,'2020-2025时序'!$C$2:$C$439,2020,'2020-2025时序'!$D$2:$D$439,"&gt;0")=0,"",SUMIFS('2020-2025时序'!$D$2:$D$439,'2020-2025时序'!$B$2:$B$439,$B23,'2020-2025时序'!$C$2:$C$439,2020))</x:f>
      </x:c>
      <x:c r="J23" s="18" t="str">
        <x:f>IF(COUNTIFS('2020-2025时序'!$B$2:$B$439,$B23,'2020-2025时序'!$C$2:$C$439,2025,'2020-2025时序'!$D$2:$D$439,"&gt;0")=0,"",SUMIFS('2020-2025时序'!$D$2:$D$439,'2020-2025时序'!$B$2:$B$439,$B23,'2020-2025时序'!$C$2:$C$439,2025))</x:f>
      </x:c>
      <x:c r="K23" s="40" t="str">
        <x:f>IF(OR(I23="",J23=""),"",POWER(J23/I23,1/5)-1)</x:f>
      </x:c>
      <x:c r="L23" s="18" t="str">
        <x:f>IF(COUNTIFS('2020-2025时序'!$B$2:$B$439,$B23,'2020-2025时序'!$C$2:$C$439,2020,'2020-2025时序'!$E$2:$E$439,"&gt;0")=0,"",SUMIFS('2020-2025时序'!$E$2:$E$439,'2020-2025时序'!$B$2:$B$439,$B23,'2020-2025时序'!$C$2:$C$439,2020))</x:f>
      </x:c>
      <x:c r="M23" s="18" t="str">
        <x:f>IF(COUNTIFS('2020-2025时序'!$B$2:$B$439,$B23,'2020-2025时序'!$C$2:$C$439,2025,'2020-2025时序'!$E$2:$E$439,"&gt;0")=0,"",SUMIFS('2020-2025时序'!$E$2:$E$439,'2020-2025时序'!$B$2:$B$439,$B23,'2020-2025时序'!$C$2:$C$439,2025))</x:f>
      </x:c>
      <x:c r="N23" s="18" t="str">
        <x:f>IF(COUNTIFS('2020-2025时序'!$B$2:$B$439,$B23,'2020-2025时序'!$C$2:$C$439,2020,'2020-2025时序'!$F$2:$F$439,"&gt;0")=0,"",SUMIFS('2020-2025时序'!$F$2:$F$439,'2020-2025时序'!$B$2:$B$439,$B23,'2020-2025时序'!$C$2:$C$439,2020))</x:f>
      </x:c>
      <x:c r="O23" s="18" t="str">
        <x:f>IF(COUNTIFS('2020-2025时序'!$B$2:$B$439,$B23,'2020-2025时序'!$C$2:$C$439,2025,'2020-2025时序'!$F$2:$F$439,"&gt;0")=0,"",SUMIFS('2020-2025时序'!$F$2:$F$439,'2020-2025时序'!$B$2:$B$439,$B23,'2020-2025时序'!$C$2:$C$439,2025))</x:f>
      </x:c>
      <x:c r="P23" s="18" t="str">
        <x:f>IF(COUNTIFS('2020-2025时序'!$B$2:$B$439,$B23,'2020-2025时序'!$C$2:$C$439,2025,'2020-2025时序'!$G$2:$G$439,"&gt;0")=0,"",SUMIFS('2020-2025时序'!$G$2:$G$439,'2020-2025时序'!$B$2:$B$439,$B23,'2020-2025时序'!$C$2:$C$439,2025))</x:f>
      </x:c>
      <x:c r="Q23" s="18" t="str">
        <x:f>IF(COUNTIFS('2020-2025时序'!$B$2:$B$439,$B23,'2020-2025时序'!$C$2:$C$439,2025,'2020-2025时序'!$H$2:$H$439,"&gt;0")=0,"",SUMIFS('2020-2025时序'!$H$2:$H$439,'2020-2025时序'!$B$2:$B$439,$B23,'2020-2025时序'!$C$2:$C$439,2025))</x:f>
      </x:c>
      <x:c r="R23" s="18" t="str">
        <x:f>IF(COUNTIFS('2020-2025时序'!$B$2:$B$439,$B23,'2020-2025时序'!$C$2:$C$439,2025,'2020-2025时序'!$L$2:$L$439,"&gt;0")=0,"",SUMIFS('2020-2025时序'!$L$2:$L$439,'2020-2025时序'!$B$2:$B$439,$B23,'2020-2025时序'!$C$2:$C$439,2025))</x:f>
      </x:c>
      <x:c r="S23" s="18" t="str">
        <x:f>IF(COUNTIFS('2020-2025时序'!$B$2:$B$439,$B23,'2020-2025时序'!$C$2:$C$439,2025,'2020-2025时序'!$J$2:$J$439,"&gt;0")=0,"",SUMIFS('2020-2025时序'!$J$2:$J$439,'2020-2025时序'!$B$2:$B$439,$B23,'2020-2025时序'!$C$2:$C$439,2025))</x:f>
      </x:c>
      <x:c r="T23" s="41" t="str">
        <x:f>IF(OR(L23="",M23=""),"",IF(OR(N23="",O23=""),MIN(100,MAX(0,-(M23/L23-1)/0.10*100)),0.7*MIN(100,MAX(0,-(M23/L23-1)/0.10*100))+0.3*MIN(100,MAX(0,-(O23/N23-1)/0.50*100))))</x:f>
      </x:c>
      <x:c r="U23" s="41" t="str">
        <x:f>IF(OR(P23="",Q23="",Q23=0),"",MIN(100,MAX(0,100*(1-P23/Q23))))</x:f>
      </x:c>
      <x:c r="V23" s="41" t="str">
        <x:f>IFERROR(MIN(100,100*SUMIFS('2020-2025时序'!$O$2:$O$439,'2020-2025时序'!$B$2:$B$439,$B23,'2020-2025时序'!$C$2:$C$439,2025)/SUMIFS('2020-2025时序'!$J$2:$J$439,'2020-2025时序'!$B$2:$B$439,$B23,'2020-2025时序'!$C$2:$C$439,2025)),"")</x:f>
      </x:c>
      <x:c r="W23" s="41" t="str">
        <x:f>IF(OR(R23="",J23="",J23=0),"",MIN(100,100*R23/J23))</x:f>
      </x:c>
      <x:c r="X23" s="41" t="str">
        <x:f>IF(OR(K23="",T23="",U23="",W23=""),"",0.25*MIN(100,MAX(20,20+K23/0.08*80))+0.20*(100-T23)+0.20*(100-U23)+0.15*G23+0.10*(100-W23)+0.10*G23)</x:f>
      </x:c>
      <x:c r="Y23" s="41" t="n">
        <x:f>ROUND(100*COUNT(I23:S23)/11,0)</x:f>
        <x:v>0</x:v>
      </x:c>
      <x:c r="Z23" s="16" t="str">
        <x:f>IF(AND(J23&lt;&gt;"",K23&gt;0,M23&lt;&gt;"",L23&lt;&gt;"",M23&lt;L23),"表面增长/人口收缩",IF(AND(U23&lt;&gt;"",U23&gt;=80),"财政高度依赖",IF(E23="收缩风险","结构性收缩风险",IF(H23&gt;=75,"单一产业集中风险",""))))</x:f>
      </x:c>
      <x:c r="AA23" s="16" t="str">
        <x:f>"详见“2020-2025时序”逐年来源URL；产业与抓手为研究判断"</x:f>
        <x:v>详见“2020-2025时序”逐年来源URL；产业与抓手为研究判断</x:v>
      </x:c>
    </x:row>
    <x:row r="24">
      <x:c r="A24" s="16" t="str">
        <x:v>赣州市</x:v>
      </x:c>
      <x:c r="B24" s="16" t="str">
        <x:v>崇义县</x:v>
      </x:c>
      <x:c r="C24" s="16" t="str">
        <x:v>钨、竹木、绿色食品、生态旅游</x:v>
      </x:c>
      <x:c r="D24" s="16" t="str">
        <x:v>B-/C+</x:v>
      </x:c>
      <x:c r="E24" s="16" t="str">
        <x:v>承压型</x:v>
      </x:c>
      <x:c r="F24" s="16" t="str">
        <x:v>钨深加工、林业经济</x:v>
      </x:c>
      <x:c r="G24" s="18" t="n">
        <x:v>62</x:v>
      </x:c>
      <x:c r="H24" s="18" t="n">
        <x:v>66</x:v>
      </x:c>
      <x:c r="I24" s="18" t="str">
        <x:f>IF(COUNTIFS('2020-2025时序'!$B$2:$B$439,$B24,'2020-2025时序'!$C$2:$C$439,2020,'2020-2025时序'!$D$2:$D$439,"&gt;0")=0,"",SUMIFS('2020-2025时序'!$D$2:$D$439,'2020-2025时序'!$B$2:$B$439,$B24,'2020-2025时序'!$C$2:$C$439,2020))</x:f>
      </x:c>
      <x:c r="J24" s="18" t="str">
        <x:f>IF(COUNTIFS('2020-2025时序'!$B$2:$B$439,$B24,'2020-2025时序'!$C$2:$C$439,2025,'2020-2025时序'!$D$2:$D$439,"&gt;0")=0,"",SUMIFS('2020-2025时序'!$D$2:$D$439,'2020-2025时序'!$B$2:$B$439,$B24,'2020-2025时序'!$C$2:$C$439,2025))</x:f>
      </x:c>
      <x:c r="K24" s="40" t="str">
        <x:f>IF(OR(I24="",J24=""),"",POWER(J24/I24,1/5)-1)</x:f>
      </x:c>
      <x:c r="L24" s="18" t="str">
        <x:f>IF(COUNTIFS('2020-2025时序'!$B$2:$B$439,$B24,'2020-2025时序'!$C$2:$C$439,2020,'2020-2025时序'!$E$2:$E$439,"&gt;0")=0,"",SUMIFS('2020-2025时序'!$E$2:$E$439,'2020-2025时序'!$B$2:$B$439,$B24,'2020-2025时序'!$C$2:$C$439,2020))</x:f>
      </x:c>
      <x:c r="M24" s="18" t="str">
        <x:f>IF(COUNTIFS('2020-2025时序'!$B$2:$B$439,$B24,'2020-2025时序'!$C$2:$C$439,2025,'2020-2025时序'!$E$2:$E$439,"&gt;0")=0,"",SUMIFS('2020-2025时序'!$E$2:$E$439,'2020-2025时序'!$B$2:$B$439,$B24,'2020-2025时序'!$C$2:$C$439,2025))</x:f>
      </x:c>
      <x:c r="N24" s="18" t="str">
        <x:f>IF(COUNTIFS('2020-2025时序'!$B$2:$B$439,$B24,'2020-2025时序'!$C$2:$C$439,2020,'2020-2025时序'!$F$2:$F$439,"&gt;0")=0,"",SUMIFS('2020-2025时序'!$F$2:$F$439,'2020-2025时序'!$B$2:$B$439,$B24,'2020-2025时序'!$C$2:$C$439,2020))</x:f>
      </x:c>
      <x:c r="O24" s="18" t="str">
        <x:f>IF(COUNTIFS('2020-2025时序'!$B$2:$B$439,$B24,'2020-2025时序'!$C$2:$C$439,2025,'2020-2025时序'!$F$2:$F$439,"&gt;0")=0,"",SUMIFS('2020-2025时序'!$F$2:$F$439,'2020-2025时序'!$B$2:$B$439,$B24,'2020-2025时序'!$C$2:$C$439,2025))</x:f>
      </x:c>
      <x:c r="P24" s="18" t="str">
        <x:f>IF(COUNTIFS('2020-2025时序'!$B$2:$B$439,$B24,'2020-2025时序'!$C$2:$C$439,2025,'2020-2025时序'!$G$2:$G$439,"&gt;0")=0,"",SUMIFS('2020-2025时序'!$G$2:$G$439,'2020-2025时序'!$B$2:$B$439,$B24,'2020-2025时序'!$C$2:$C$439,2025))</x:f>
      </x:c>
      <x:c r="Q24" s="18" t="str">
        <x:f>IF(COUNTIFS('2020-2025时序'!$B$2:$B$439,$B24,'2020-2025时序'!$C$2:$C$439,2025,'2020-2025时序'!$H$2:$H$439,"&gt;0")=0,"",SUMIFS('2020-2025时序'!$H$2:$H$439,'2020-2025时序'!$B$2:$B$439,$B24,'2020-2025时序'!$C$2:$C$439,2025))</x:f>
      </x:c>
      <x:c r="R24" s="18" t="str">
        <x:f>IF(COUNTIFS('2020-2025时序'!$B$2:$B$439,$B24,'2020-2025时序'!$C$2:$C$439,2025,'2020-2025时序'!$L$2:$L$439,"&gt;0")=0,"",SUMIFS('2020-2025时序'!$L$2:$L$439,'2020-2025时序'!$B$2:$B$439,$B24,'2020-2025时序'!$C$2:$C$439,2025))</x:f>
      </x:c>
      <x:c r="S24" s="18" t="str">
        <x:f>IF(COUNTIFS('2020-2025时序'!$B$2:$B$439,$B24,'2020-2025时序'!$C$2:$C$439,2025,'2020-2025时序'!$J$2:$J$439,"&gt;0")=0,"",SUMIFS('2020-2025时序'!$J$2:$J$439,'2020-2025时序'!$B$2:$B$439,$B24,'2020-2025时序'!$C$2:$C$439,2025))</x:f>
      </x:c>
      <x:c r="T24" s="41" t="str">
        <x:f>IF(OR(L24="",M24=""),"",IF(OR(N24="",O24=""),MIN(100,MAX(0,-(M24/L24-1)/0.10*100)),0.7*MIN(100,MAX(0,-(M24/L24-1)/0.10*100))+0.3*MIN(100,MAX(0,-(O24/N24-1)/0.50*100))))</x:f>
      </x:c>
      <x:c r="U24" s="41" t="str">
        <x:f>IF(OR(P24="",Q24="",Q24=0),"",MIN(100,MAX(0,100*(1-P24/Q24))))</x:f>
      </x:c>
      <x:c r="V24" s="41" t="str">
        <x:f>IFERROR(MIN(100,100*SUMIFS('2020-2025时序'!$O$2:$O$439,'2020-2025时序'!$B$2:$B$439,$B24,'2020-2025时序'!$C$2:$C$439,2025)/SUMIFS('2020-2025时序'!$J$2:$J$439,'2020-2025时序'!$B$2:$B$439,$B24,'2020-2025时序'!$C$2:$C$439,2025)),"")</x:f>
      </x:c>
      <x:c r="W24" s="41" t="str">
        <x:f>IF(OR(R24="",J24="",J24=0),"",MIN(100,100*R24/J24))</x:f>
      </x:c>
      <x:c r="X24" s="41" t="str">
        <x:f>IF(OR(K24="",T24="",U24="",W24=""),"",0.25*MIN(100,MAX(20,20+K24/0.08*80))+0.20*(100-T24)+0.20*(100-U24)+0.15*G24+0.10*(100-W24)+0.10*G24)</x:f>
      </x:c>
      <x:c r="Y24" s="41" t="n">
        <x:f>ROUND(100*COUNT(I24:S24)/11,0)</x:f>
        <x:v>0</x:v>
      </x:c>
      <x:c r="Z24" s="16" t="str">
        <x:f>IF(AND(J24&lt;&gt;"",K24&gt;0,M24&lt;&gt;"",L24&lt;&gt;"",M24&lt;L24),"表面增长/人口收缩",IF(AND(U24&lt;&gt;"",U24&gt;=80),"财政高度依赖",IF(E24="收缩风险","结构性收缩风险",IF(H24&gt;=75,"单一产业集中风险",""))))</x:f>
      </x:c>
      <x:c r="AA24" s="16" t="str">
        <x:f>"详见“2020-2025时序”逐年来源URL；产业与抓手为研究判断"</x:f>
        <x:v>详见“2020-2025时序”逐年来源URL；产业与抓手为研究判断</x:v>
      </x:c>
    </x:row>
    <x:row r="25">
      <x:c r="A25" s="16" t="str">
        <x:v>赣州市</x:v>
      </x:c>
      <x:c r="B25" s="16" t="str">
        <x:v>信丰县</x:v>
      </x:c>
      <x:c r="C25" s="16" t="str">
        <x:v>PCB/电子信息、装备、新能源</x:v>
      </x:c>
      <x:c r="D25" s="16" t="str">
        <x:v>A</x:v>
      </x:c>
      <x:c r="E25" s="16" t="str">
        <x:v>增长型</x:v>
      </x:c>
      <x:c r="F25" s="16" t="str">
        <x:v>粤港澳电子产业转移</x:v>
      </x:c>
      <x:c r="G25" s="18" t="n">
        <x:v>90</x:v>
      </x:c>
      <x:c r="H25" s="18" t="n">
        <x:v>56</x:v>
      </x:c>
      <x:c r="I25" s="18" t="str">
        <x:f>IF(COUNTIFS('2020-2025时序'!$B$2:$B$439,$B25,'2020-2025时序'!$C$2:$C$439,2020,'2020-2025时序'!$D$2:$D$439,"&gt;0")=0,"",SUMIFS('2020-2025时序'!$D$2:$D$439,'2020-2025时序'!$B$2:$B$439,$B25,'2020-2025时序'!$C$2:$C$439,2020))</x:f>
      </x:c>
      <x:c r="J25" s="18" t="n">
        <x:f>IF(COUNTIFS('2020-2025时序'!$B$2:$B$439,$B25,'2020-2025时序'!$C$2:$C$439,2025,'2020-2025时序'!$D$2:$D$439,"&gt;0")=0,"",SUMIFS('2020-2025时序'!$D$2:$D$439,'2020-2025时序'!$B$2:$B$439,$B25,'2020-2025时序'!$C$2:$C$439,2025))</x:f>
        <x:v>341</x:v>
      </x:c>
      <x:c r="K25" s="40" t="str">
        <x:f>IF(OR(I25="",J25=""),"",POWER(J25/I25,1/5)-1)</x:f>
      </x:c>
      <x:c r="L25" s="18" t="str">
        <x:f>IF(COUNTIFS('2020-2025时序'!$B$2:$B$439,$B25,'2020-2025时序'!$C$2:$C$439,2020,'2020-2025时序'!$E$2:$E$439,"&gt;0")=0,"",SUMIFS('2020-2025时序'!$E$2:$E$439,'2020-2025时序'!$B$2:$B$439,$B25,'2020-2025时序'!$C$2:$C$439,2020))</x:f>
      </x:c>
      <x:c r="M25" s="18" t="str">
        <x:f>IF(COUNTIFS('2020-2025时序'!$B$2:$B$439,$B25,'2020-2025时序'!$C$2:$C$439,2025,'2020-2025时序'!$E$2:$E$439,"&gt;0")=0,"",SUMIFS('2020-2025时序'!$E$2:$E$439,'2020-2025时序'!$B$2:$B$439,$B25,'2020-2025时序'!$C$2:$C$439,2025))</x:f>
      </x:c>
      <x:c r="N25" s="18" t="str">
        <x:f>IF(COUNTIFS('2020-2025时序'!$B$2:$B$439,$B25,'2020-2025时序'!$C$2:$C$439,2020,'2020-2025时序'!$F$2:$F$439,"&gt;0")=0,"",SUMIFS('2020-2025时序'!$F$2:$F$439,'2020-2025时序'!$B$2:$B$439,$B25,'2020-2025时序'!$C$2:$C$439,2020))</x:f>
      </x:c>
      <x:c r="O25" s="18" t="str">
        <x:f>IF(COUNTIFS('2020-2025时序'!$B$2:$B$439,$B25,'2020-2025时序'!$C$2:$C$439,2025,'2020-2025时序'!$F$2:$F$439,"&gt;0")=0,"",SUMIFS('2020-2025时序'!$F$2:$F$439,'2020-2025时序'!$B$2:$B$439,$B25,'2020-2025时序'!$C$2:$C$439,2025))</x:f>
      </x:c>
      <x:c r="P25" s="18" t="str">
        <x:f>IF(COUNTIFS('2020-2025时序'!$B$2:$B$439,$B25,'2020-2025时序'!$C$2:$C$439,2025,'2020-2025时序'!$G$2:$G$439,"&gt;0")=0,"",SUMIFS('2020-2025时序'!$G$2:$G$439,'2020-2025时序'!$B$2:$B$439,$B25,'2020-2025时序'!$C$2:$C$439,2025))</x:f>
      </x:c>
      <x:c r="Q25" s="18" t="str">
        <x:f>IF(COUNTIFS('2020-2025时序'!$B$2:$B$439,$B25,'2020-2025时序'!$C$2:$C$439,2025,'2020-2025时序'!$H$2:$H$439,"&gt;0")=0,"",SUMIFS('2020-2025时序'!$H$2:$H$439,'2020-2025时序'!$B$2:$B$439,$B25,'2020-2025时序'!$C$2:$C$439,2025))</x:f>
      </x:c>
      <x:c r="R25" s="18" t="str">
        <x:f>IF(COUNTIFS('2020-2025时序'!$B$2:$B$439,$B25,'2020-2025时序'!$C$2:$C$439,2025,'2020-2025时序'!$L$2:$L$439,"&gt;0")=0,"",SUMIFS('2020-2025时序'!$L$2:$L$439,'2020-2025时序'!$B$2:$B$439,$B25,'2020-2025时序'!$C$2:$C$439,2025))</x:f>
      </x:c>
      <x:c r="S25" s="18" t="str">
        <x:f>IF(COUNTIFS('2020-2025时序'!$B$2:$B$439,$B25,'2020-2025时序'!$C$2:$C$439,2025,'2020-2025时序'!$J$2:$J$439,"&gt;0")=0,"",SUMIFS('2020-2025时序'!$J$2:$J$439,'2020-2025时序'!$B$2:$B$439,$B25,'2020-2025时序'!$C$2:$C$439,2025))</x:f>
      </x:c>
      <x:c r="T25" s="41" t="str">
        <x:f>IF(OR(L25="",M25=""),"",IF(OR(N25="",O25=""),MIN(100,MAX(0,-(M25/L25-1)/0.10*100)),0.7*MIN(100,MAX(0,-(M25/L25-1)/0.10*100))+0.3*MIN(100,MAX(0,-(O25/N25-1)/0.50*100))))</x:f>
      </x:c>
      <x:c r="U25" s="41" t="str">
        <x:f>IF(OR(P25="",Q25="",Q25=0),"",MIN(100,MAX(0,100*(1-P25/Q25))))</x:f>
      </x:c>
      <x:c r="V25" s="41" t="str">
        <x:f>IFERROR(MIN(100,100*SUMIFS('2020-2025时序'!$O$2:$O$439,'2020-2025时序'!$B$2:$B$439,$B25,'2020-2025时序'!$C$2:$C$439,2025)/SUMIFS('2020-2025时序'!$J$2:$J$439,'2020-2025时序'!$B$2:$B$439,$B25,'2020-2025时序'!$C$2:$C$439,2025)),"")</x:f>
      </x:c>
      <x:c r="W25" s="41" t="str">
        <x:f>IF(OR(R25="",J25="",J25=0),"",MIN(100,100*R25/J25))</x:f>
      </x:c>
      <x:c r="X25" s="41" t="str">
        <x:f>IF(OR(K25="",T25="",U25="",W25=""),"",0.25*MIN(100,MAX(20,20+K25/0.08*80))+0.20*(100-T25)+0.20*(100-U25)+0.15*G25+0.10*(100-W25)+0.10*G25)</x:f>
      </x:c>
      <x:c r="Y25" s="41" t="n">
        <x:f>ROUND(100*COUNT(I25:S25)/11,0)</x:f>
        <x:v>9</x:v>
      </x:c>
      <x:c r="Z25" s="16" t="str">
        <x:f>IF(AND(J25&lt;&gt;"",K25&gt;0,M25&lt;&gt;"",L25&lt;&gt;"",M25&lt;L25),"表面增长/人口收缩",IF(AND(U25&lt;&gt;"",U25&gt;=80),"财政高度依赖",IF(E25="收缩风险","结构性收缩风险",IF(H25&gt;=75,"单一产业集中风险",""))))</x:f>
      </x:c>
      <x:c r="AA25" s="16" t="str">
        <x:f>"详见“2020-2025时序”逐年来源URL；产业与抓手为研究判断"</x:f>
        <x:v>详见“2020-2025时序”逐年来源URL；产业与抓手为研究判断</x:v>
      </x:c>
    </x:row>
    <x:row r="26">
      <x:c r="A26" s="16" t="str">
        <x:v>赣州市</x:v>
      </x:c>
      <x:c r="B26" s="16" t="str">
        <x:v>定南县</x:v>
      </x:c>
      <x:c r="C26" s="16" t="str">
        <x:v>电子、新材料、现代物流</x:v>
      </x:c>
      <x:c r="D26" s="16" t="str">
        <x:v>B+</x:v>
      </x:c>
      <x:c r="E26" s="16" t="str">
        <x:v>转型增长型</x:v>
      </x:c>
      <x:c r="F26" s="16" t="str">
        <x:v>大湾区门户、赣深通道</x:v>
      </x:c>
      <x:c r="G26" s="18" t="n">
        <x:v>77</x:v>
      </x:c>
      <x:c r="H26" s="18" t="n">
        <x:v>56</x:v>
      </x:c>
      <x:c r="I26" s="18" t="n">
        <x:f>IF(COUNTIFS('2020-2025时序'!$B$2:$B$439,$B26,'2020-2025时序'!$C$2:$C$439,2020,'2020-2025时序'!$D$2:$D$439,"&gt;0")=0,"",SUMIFS('2020-2025时序'!$D$2:$D$439,'2020-2025时序'!$B$2:$B$439,$B26,'2020-2025时序'!$C$2:$C$439,2020))</x:f>
        <x:v>87.0712</x:v>
      </x:c>
      <x:c r="J26" s="18" t="str">
        <x:f>IF(COUNTIFS('2020-2025时序'!$B$2:$B$439,$B26,'2020-2025时序'!$C$2:$C$439,2025,'2020-2025时序'!$D$2:$D$439,"&gt;0")=0,"",SUMIFS('2020-2025时序'!$D$2:$D$439,'2020-2025时序'!$B$2:$B$439,$B26,'2020-2025时序'!$C$2:$C$439,2025))</x:f>
      </x:c>
      <x:c r="K26" s="40" t="str">
        <x:f>IF(OR(I26="",J26=""),"",POWER(J26/I26,1/5)-1)</x:f>
      </x:c>
      <x:c r="L26" s="18" t="str">
        <x:f>IF(COUNTIFS('2020-2025时序'!$B$2:$B$439,$B26,'2020-2025时序'!$C$2:$C$439,2020,'2020-2025时序'!$E$2:$E$439,"&gt;0")=0,"",SUMIFS('2020-2025时序'!$E$2:$E$439,'2020-2025时序'!$B$2:$B$439,$B26,'2020-2025时序'!$C$2:$C$439,2020))</x:f>
      </x:c>
      <x:c r="M26" s="18" t="str">
        <x:f>IF(COUNTIFS('2020-2025时序'!$B$2:$B$439,$B26,'2020-2025时序'!$C$2:$C$439,2025,'2020-2025时序'!$E$2:$E$439,"&gt;0")=0,"",SUMIFS('2020-2025时序'!$E$2:$E$439,'2020-2025时序'!$B$2:$B$439,$B26,'2020-2025时序'!$C$2:$C$439,2025))</x:f>
      </x:c>
      <x:c r="N26" s="18" t="str">
        <x:f>IF(COUNTIFS('2020-2025时序'!$B$2:$B$439,$B26,'2020-2025时序'!$C$2:$C$439,2020,'2020-2025时序'!$F$2:$F$439,"&gt;0")=0,"",SUMIFS('2020-2025时序'!$F$2:$F$439,'2020-2025时序'!$B$2:$B$439,$B26,'2020-2025时序'!$C$2:$C$439,2020))</x:f>
      </x:c>
      <x:c r="O26" s="18" t="str">
        <x:f>IF(COUNTIFS('2020-2025时序'!$B$2:$B$439,$B26,'2020-2025时序'!$C$2:$C$439,2025,'2020-2025时序'!$F$2:$F$439,"&gt;0")=0,"",SUMIFS('2020-2025时序'!$F$2:$F$439,'2020-2025时序'!$B$2:$B$439,$B26,'2020-2025时序'!$C$2:$C$439,2025))</x:f>
      </x:c>
      <x:c r="P26" s="18" t="str">
        <x:f>IF(COUNTIFS('2020-2025时序'!$B$2:$B$439,$B26,'2020-2025时序'!$C$2:$C$439,2025,'2020-2025时序'!$G$2:$G$439,"&gt;0")=0,"",SUMIFS('2020-2025时序'!$G$2:$G$439,'2020-2025时序'!$B$2:$B$439,$B26,'2020-2025时序'!$C$2:$C$439,2025))</x:f>
      </x:c>
      <x:c r="Q26" s="18" t="str">
        <x:f>IF(COUNTIFS('2020-2025时序'!$B$2:$B$439,$B26,'2020-2025时序'!$C$2:$C$439,2025,'2020-2025时序'!$H$2:$H$439,"&gt;0")=0,"",SUMIFS('2020-2025时序'!$H$2:$H$439,'2020-2025时序'!$B$2:$B$439,$B26,'2020-2025时序'!$C$2:$C$439,2025))</x:f>
      </x:c>
      <x:c r="R26" s="18" t="str">
        <x:f>IF(COUNTIFS('2020-2025时序'!$B$2:$B$439,$B26,'2020-2025时序'!$C$2:$C$439,2025,'2020-2025时序'!$L$2:$L$439,"&gt;0")=0,"",SUMIFS('2020-2025时序'!$L$2:$L$439,'2020-2025时序'!$B$2:$B$439,$B26,'2020-2025时序'!$C$2:$C$439,2025))</x:f>
      </x:c>
      <x:c r="S26" s="18" t="str">
        <x:f>IF(COUNTIFS('2020-2025时序'!$B$2:$B$439,$B26,'2020-2025时序'!$C$2:$C$439,2025,'2020-2025时序'!$J$2:$J$439,"&gt;0")=0,"",SUMIFS('2020-2025时序'!$J$2:$J$439,'2020-2025时序'!$B$2:$B$439,$B26,'2020-2025时序'!$C$2:$C$439,2025))</x:f>
      </x:c>
      <x:c r="T26" s="41" t="str">
        <x:f>IF(OR(L26="",M26=""),"",IF(OR(N26="",O26=""),MIN(100,MAX(0,-(M26/L26-1)/0.10*100)),0.7*MIN(100,MAX(0,-(M26/L26-1)/0.10*100))+0.3*MIN(100,MAX(0,-(O26/N26-1)/0.50*100))))</x:f>
      </x:c>
      <x:c r="U26" s="41" t="str">
        <x:f>IF(OR(P26="",Q26="",Q26=0),"",MIN(100,MAX(0,100*(1-P26/Q26))))</x:f>
      </x:c>
      <x:c r="V26" s="41" t="str">
        <x:f>IFERROR(MIN(100,100*SUMIFS('2020-2025时序'!$O$2:$O$439,'2020-2025时序'!$B$2:$B$439,$B26,'2020-2025时序'!$C$2:$C$439,2025)/SUMIFS('2020-2025时序'!$J$2:$J$439,'2020-2025时序'!$B$2:$B$439,$B26,'2020-2025时序'!$C$2:$C$439,2025)),"")</x:f>
      </x:c>
      <x:c r="W26" s="41" t="str">
        <x:f>IF(OR(R26="",J26="",J26=0),"",MIN(100,100*R26/J26))</x:f>
      </x:c>
      <x:c r="X26" s="41" t="str">
        <x:f>IF(OR(K26="",T26="",U26="",W26=""),"",0.25*MIN(100,MAX(20,20+K26/0.08*80))+0.20*(100-T26)+0.20*(100-U26)+0.15*G26+0.10*(100-W26)+0.10*G26)</x:f>
      </x:c>
      <x:c r="Y26" s="41" t="n">
        <x:f>ROUND(100*COUNT(I26:S26)/11,0)</x:f>
        <x:v>9</x:v>
      </x:c>
      <x:c r="Z26" s="16" t="str">
        <x:f>IF(AND(J26&lt;&gt;"",K26&gt;0,M26&lt;&gt;"",L26&lt;&gt;"",M26&lt;L26),"表面增长/人口收缩",IF(AND(U26&lt;&gt;"",U26&gt;=80),"财政高度依赖",IF(E26="收缩风险","结构性收缩风险",IF(H26&gt;=75,"单一产业集中风险",""))))</x:f>
      </x:c>
      <x:c r="AA26" s="16" t="str">
        <x:f>"详见“2020-2025时序”逐年来源URL；产业与抓手为研究判断"</x:f>
        <x:v>详见“2020-2025时序”逐年来源URL；产业与抓手为研究判断</x:v>
      </x:c>
    </x:row>
    <x:row r="27">
      <x:c r="A27" s="16" t="str">
        <x:v>赣州市</x:v>
      </x:c>
      <x:c r="B27" s="16" t="str">
        <x:v>全南县</x:v>
      </x:c>
      <x:c r="C27" s="16" t="str">
        <x:v>稀土应用、新材料、电子信息</x:v>
      </x:c>
      <x:c r="D27" s="16" t="str">
        <x:v>B+</x:v>
      </x:c>
      <x:c r="E27" s="16" t="str">
        <x:v>转型增长型</x:v>
      </x:c>
      <x:c r="F27" s="16" t="str">
        <x:v>稀土下游应用、大湾区产业链</x:v>
      </x:c>
      <x:c r="G27" s="18" t="n">
        <x:v>77</x:v>
      </x:c>
      <x:c r="H27" s="18" t="n">
        <x:v>56</x:v>
      </x:c>
      <x:c r="I27" s="18" t="n">
        <x:f>IF(COUNTIFS('2020-2025时序'!$B$2:$B$439,$B27,'2020-2025时序'!$C$2:$C$439,2020,'2020-2025时序'!$D$2:$D$439,"&gt;0")=0,"",SUMIFS('2020-2025时序'!$D$2:$D$439,'2020-2025时序'!$B$2:$B$439,$B27,'2020-2025时序'!$C$2:$C$439,2020))</x:f>
        <x:v>86.9619</x:v>
      </x:c>
      <x:c r="J27" s="18" t="str">
        <x:f>IF(COUNTIFS('2020-2025时序'!$B$2:$B$439,$B27,'2020-2025时序'!$C$2:$C$439,2025,'2020-2025时序'!$D$2:$D$439,"&gt;0")=0,"",SUMIFS('2020-2025时序'!$D$2:$D$439,'2020-2025时序'!$B$2:$B$439,$B27,'2020-2025时序'!$C$2:$C$439,2025))</x:f>
      </x:c>
      <x:c r="K27" s="40" t="str">
        <x:f>IF(OR(I27="",J27=""),"",POWER(J27/I27,1/5)-1)</x:f>
      </x:c>
      <x:c r="L27" s="18" t="str">
        <x:f>IF(COUNTIFS('2020-2025时序'!$B$2:$B$439,$B27,'2020-2025时序'!$C$2:$C$439,2020,'2020-2025时序'!$E$2:$E$439,"&gt;0")=0,"",SUMIFS('2020-2025时序'!$E$2:$E$439,'2020-2025时序'!$B$2:$B$439,$B27,'2020-2025时序'!$C$2:$C$439,2020))</x:f>
      </x:c>
      <x:c r="M27" s="18" t="str">
        <x:f>IF(COUNTIFS('2020-2025时序'!$B$2:$B$439,$B27,'2020-2025时序'!$C$2:$C$439,2025,'2020-2025时序'!$E$2:$E$439,"&gt;0")=0,"",SUMIFS('2020-2025时序'!$E$2:$E$439,'2020-2025时序'!$B$2:$B$439,$B27,'2020-2025时序'!$C$2:$C$439,2025))</x:f>
      </x:c>
      <x:c r="N27" s="18" t="str">
        <x:f>IF(COUNTIFS('2020-2025时序'!$B$2:$B$439,$B27,'2020-2025时序'!$C$2:$C$439,2020,'2020-2025时序'!$F$2:$F$439,"&gt;0")=0,"",SUMIFS('2020-2025时序'!$F$2:$F$439,'2020-2025时序'!$B$2:$B$439,$B27,'2020-2025时序'!$C$2:$C$439,2020))</x:f>
      </x:c>
      <x:c r="O27" s="18" t="str">
        <x:f>IF(COUNTIFS('2020-2025时序'!$B$2:$B$439,$B27,'2020-2025时序'!$C$2:$C$439,2025,'2020-2025时序'!$F$2:$F$439,"&gt;0")=0,"",SUMIFS('2020-2025时序'!$F$2:$F$439,'2020-2025时序'!$B$2:$B$439,$B27,'2020-2025时序'!$C$2:$C$439,2025))</x:f>
      </x:c>
      <x:c r="P27" s="18" t="str">
        <x:f>IF(COUNTIFS('2020-2025时序'!$B$2:$B$439,$B27,'2020-2025时序'!$C$2:$C$439,2025,'2020-2025时序'!$G$2:$G$439,"&gt;0")=0,"",SUMIFS('2020-2025时序'!$G$2:$G$439,'2020-2025时序'!$B$2:$B$439,$B27,'2020-2025时序'!$C$2:$C$439,2025))</x:f>
      </x:c>
      <x:c r="Q27" s="18" t="str">
        <x:f>IF(COUNTIFS('2020-2025时序'!$B$2:$B$439,$B27,'2020-2025时序'!$C$2:$C$439,2025,'2020-2025时序'!$H$2:$H$439,"&gt;0")=0,"",SUMIFS('2020-2025时序'!$H$2:$H$439,'2020-2025时序'!$B$2:$B$439,$B27,'2020-2025时序'!$C$2:$C$439,2025))</x:f>
      </x:c>
      <x:c r="R27" s="18" t="str">
        <x:f>IF(COUNTIFS('2020-2025时序'!$B$2:$B$439,$B27,'2020-2025时序'!$C$2:$C$439,2025,'2020-2025时序'!$L$2:$L$439,"&gt;0")=0,"",SUMIFS('2020-2025时序'!$L$2:$L$439,'2020-2025时序'!$B$2:$B$439,$B27,'2020-2025时序'!$C$2:$C$439,2025))</x:f>
      </x:c>
      <x:c r="S27" s="18" t="str">
        <x:f>IF(COUNTIFS('2020-2025时序'!$B$2:$B$439,$B27,'2020-2025时序'!$C$2:$C$439,2025,'2020-2025时序'!$J$2:$J$439,"&gt;0")=0,"",SUMIFS('2020-2025时序'!$J$2:$J$439,'2020-2025时序'!$B$2:$B$439,$B27,'2020-2025时序'!$C$2:$C$439,2025))</x:f>
      </x:c>
      <x:c r="T27" s="41" t="str">
        <x:f>IF(OR(L27="",M27=""),"",IF(OR(N27="",O27=""),MIN(100,MAX(0,-(M27/L27-1)/0.10*100)),0.7*MIN(100,MAX(0,-(M27/L27-1)/0.10*100))+0.3*MIN(100,MAX(0,-(O27/N27-1)/0.50*100))))</x:f>
      </x:c>
      <x:c r="U27" s="41" t="str">
        <x:f>IF(OR(P27="",Q27="",Q27=0),"",MIN(100,MAX(0,100*(1-P27/Q27))))</x:f>
      </x:c>
      <x:c r="V27" s="41" t="str">
        <x:f>IFERROR(MIN(100,100*SUMIFS('2020-2025时序'!$O$2:$O$439,'2020-2025时序'!$B$2:$B$439,$B27,'2020-2025时序'!$C$2:$C$439,2025)/SUMIFS('2020-2025时序'!$J$2:$J$439,'2020-2025时序'!$B$2:$B$439,$B27,'2020-2025时序'!$C$2:$C$439,2025)),"")</x:f>
      </x:c>
      <x:c r="W27" s="41" t="str">
        <x:f>IF(OR(R27="",J27="",J27=0),"",MIN(100,100*R27/J27))</x:f>
      </x:c>
      <x:c r="X27" s="41" t="str">
        <x:f>IF(OR(K27="",T27="",U27="",W27=""),"",0.25*MIN(100,MAX(20,20+K27/0.08*80))+0.20*(100-T27)+0.20*(100-U27)+0.15*G27+0.10*(100-W27)+0.10*G27)</x:f>
      </x:c>
      <x:c r="Y27" s="41" t="n">
        <x:f>ROUND(100*COUNT(I27:S27)/11,0)</x:f>
        <x:v>9</x:v>
      </x:c>
      <x:c r="Z27" s="16" t="str">
        <x:f>IF(AND(J27&lt;&gt;"",K27&gt;0,M27&lt;&gt;"",L27&lt;&gt;"",M27&lt;L27),"表面增长/人口收缩",IF(AND(U27&lt;&gt;"",U27&gt;=80),"财政高度依赖",IF(E27="收缩风险","结构性收缩风险",IF(H27&gt;=75,"单一产业集中风险",""))))</x:f>
      </x:c>
      <x:c r="AA27" s="16" t="str">
        <x:f>"详见“2020-2025时序”逐年来源URL；产业与抓手为研究判断"</x:f>
        <x:v>详见“2020-2025时序”逐年来源URL；产业与抓手为研究判断</x:v>
      </x:c>
    </x:row>
    <x:row r="28">
      <x:c r="A28" s="16" t="str">
        <x:v>赣州市</x:v>
      </x:c>
      <x:c r="B28" s="16" t="str">
        <x:v>安远县</x:v>
      </x:c>
      <x:c r="C28" s="16" t="str">
        <x:v>脐橙、食品加工、轻工、旅游</x:v>
      </x:c>
      <x:c r="D28" s="16" t="str">
        <x:v>C+</x:v>
      </x:c>
      <x:c r="E28" s="16" t="str">
        <x:v>承压型</x:v>
      </x:c>
      <x:c r="F28" s="16" t="str">
        <x:v>农产品深加工、品牌、电商</x:v>
      </x:c>
      <x:c r="G28" s="18" t="n">
        <x:v>58</x:v>
      </x:c>
      <x:c r="H28" s="18" t="n">
        <x:v>46</x:v>
      </x:c>
      <x:c r="I28" s="18" t="str">
        <x:f>IF(COUNTIFS('2020-2025时序'!$B$2:$B$439,$B28,'2020-2025时序'!$C$2:$C$439,2020,'2020-2025时序'!$D$2:$D$439,"&gt;0")=0,"",SUMIFS('2020-2025时序'!$D$2:$D$439,'2020-2025时序'!$B$2:$B$439,$B28,'2020-2025时序'!$C$2:$C$439,2020))</x:f>
      </x:c>
      <x:c r="J28" s="18" t="str">
        <x:f>IF(COUNTIFS('2020-2025时序'!$B$2:$B$439,$B28,'2020-2025时序'!$C$2:$C$439,2025,'2020-2025时序'!$D$2:$D$439,"&gt;0")=0,"",SUMIFS('2020-2025时序'!$D$2:$D$439,'2020-2025时序'!$B$2:$B$439,$B28,'2020-2025时序'!$C$2:$C$439,2025))</x:f>
      </x:c>
      <x:c r="K28" s="40" t="str">
        <x:f>IF(OR(I28="",J28=""),"",POWER(J28/I28,1/5)-1)</x:f>
      </x:c>
      <x:c r="L28" s="18" t="str">
        <x:f>IF(COUNTIFS('2020-2025时序'!$B$2:$B$439,$B28,'2020-2025时序'!$C$2:$C$439,2020,'2020-2025时序'!$E$2:$E$439,"&gt;0")=0,"",SUMIFS('2020-2025时序'!$E$2:$E$439,'2020-2025时序'!$B$2:$B$439,$B28,'2020-2025时序'!$C$2:$C$439,2020))</x:f>
      </x:c>
      <x:c r="M28" s="18" t="str">
        <x:f>IF(COUNTIFS('2020-2025时序'!$B$2:$B$439,$B28,'2020-2025时序'!$C$2:$C$439,2025,'2020-2025时序'!$E$2:$E$439,"&gt;0")=0,"",SUMIFS('2020-2025时序'!$E$2:$E$439,'2020-2025时序'!$B$2:$B$439,$B28,'2020-2025时序'!$C$2:$C$439,2025))</x:f>
      </x:c>
      <x:c r="N28" s="18" t="str">
        <x:f>IF(COUNTIFS('2020-2025时序'!$B$2:$B$439,$B28,'2020-2025时序'!$C$2:$C$439,2020,'2020-2025时序'!$F$2:$F$439,"&gt;0")=0,"",SUMIFS('2020-2025时序'!$F$2:$F$439,'2020-2025时序'!$B$2:$B$439,$B28,'2020-2025时序'!$C$2:$C$439,2020))</x:f>
      </x:c>
      <x:c r="O28" s="18" t="str">
        <x:f>IF(COUNTIFS('2020-2025时序'!$B$2:$B$439,$B28,'2020-2025时序'!$C$2:$C$439,2025,'2020-2025时序'!$F$2:$F$439,"&gt;0")=0,"",SUMIFS('2020-2025时序'!$F$2:$F$439,'2020-2025时序'!$B$2:$B$439,$B28,'2020-2025时序'!$C$2:$C$439,2025))</x:f>
      </x:c>
      <x:c r="P28" s="18" t="str">
        <x:f>IF(COUNTIFS('2020-2025时序'!$B$2:$B$439,$B28,'2020-2025时序'!$C$2:$C$439,2025,'2020-2025时序'!$G$2:$G$439,"&gt;0")=0,"",SUMIFS('2020-2025时序'!$G$2:$G$439,'2020-2025时序'!$B$2:$B$439,$B28,'2020-2025时序'!$C$2:$C$439,2025))</x:f>
      </x:c>
      <x:c r="Q28" s="18" t="str">
        <x:f>IF(COUNTIFS('2020-2025时序'!$B$2:$B$439,$B28,'2020-2025时序'!$C$2:$C$439,2025,'2020-2025时序'!$H$2:$H$439,"&gt;0")=0,"",SUMIFS('2020-2025时序'!$H$2:$H$439,'2020-2025时序'!$B$2:$B$439,$B28,'2020-2025时序'!$C$2:$C$439,2025))</x:f>
      </x:c>
      <x:c r="R28" s="18" t="str">
        <x:f>IF(COUNTIFS('2020-2025时序'!$B$2:$B$439,$B28,'2020-2025时序'!$C$2:$C$439,2025,'2020-2025时序'!$L$2:$L$439,"&gt;0")=0,"",SUMIFS('2020-2025时序'!$L$2:$L$439,'2020-2025时序'!$B$2:$B$439,$B28,'2020-2025时序'!$C$2:$C$439,2025))</x:f>
      </x:c>
      <x:c r="S28" s="18" t="str">
        <x:f>IF(COUNTIFS('2020-2025时序'!$B$2:$B$439,$B28,'2020-2025时序'!$C$2:$C$439,2025,'2020-2025时序'!$J$2:$J$439,"&gt;0")=0,"",SUMIFS('2020-2025时序'!$J$2:$J$439,'2020-2025时序'!$B$2:$B$439,$B28,'2020-2025时序'!$C$2:$C$439,2025))</x:f>
      </x:c>
      <x:c r="T28" s="41" t="str">
        <x:f>IF(OR(L28="",M28=""),"",IF(OR(N28="",O28=""),MIN(100,MAX(0,-(M28/L28-1)/0.10*100)),0.7*MIN(100,MAX(0,-(M28/L28-1)/0.10*100))+0.3*MIN(100,MAX(0,-(O28/N28-1)/0.50*100))))</x:f>
      </x:c>
      <x:c r="U28" s="41" t="str">
        <x:f>IF(OR(P28="",Q28="",Q28=0),"",MIN(100,MAX(0,100*(1-P28/Q28))))</x:f>
      </x:c>
      <x:c r="V28" s="41" t="str">
        <x:f>IFERROR(MIN(100,100*SUMIFS('2020-2025时序'!$O$2:$O$439,'2020-2025时序'!$B$2:$B$439,$B28,'2020-2025时序'!$C$2:$C$439,2025)/SUMIFS('2020-2025时序'!$J$2:$J$439,'2020-2025时序'!$B$2:$B$439,$B28,'2020-2025时序'!$C$2:$C$439,2025)),"")</x:f>
      </x:c>
      <x:c r="W28" s="41" t="str">
        <x:f>IF(OR(R28="",J28="",J28=0),"",MIN(100,100*R28/J28))</x:f>
      </x:c>
      <x:c r="X28" s="41" t="str">
        <x:f>IF(OR(K28="",T28="",U28="",W28=""),"",0.25*MIN(100,MAX(20,20+K28/0.08*80))+0.20*(100-T28)+0.20*(100-U28)+0.15*G28+0.10*(100-W28)+0.10*G28)</x:f>
      </x:c>
      <x:c r="Y28" s="41" t="n">
        <x:f>ROUND(100*COUNT(I28:S28)/11,0)</x:f>
        <x:v>0</x:v>
      </x:c>
      <x:c r="Z28" s="16" t="str">
        <x:f>IF(AND(J28&lt;&gt;"",K28&gt;0,M28&lt;&gt;"",L28&lt;&gt;"",M28&lt;L28),"表面增长/人口收缩",IF(AND(U28&lt;&gt;"",U28&gt;=80),"财政高度依赖",IF(E28="收缩风险","结构性收缩风险",IF(H28&gt;=75,"单一产业集中风险",""))))</x:f>
      </x:c>
      <x:c r="AA28" s="16" t="str">
        <x:f>"详见“2020-2025时序”逐年来源URL；产业与抓手为研究判断"</x:f>
        <x:v>详见“2020-2025时序”逐年来源URL；产业与抓手为研究判断</x:v>
      </x:c>
    </x:row>
    <x:row r="29">
      <x:c r="A29" s="16" t="str">
        <x:v>赣州市</x:v>
      </x:c>
      <x:c r="B29" s="16" t="str">
        <x:v>宁都县</x:v>
      </x:c>
      <x:c r="C29" s="16" t="str">
        <x:v>食品、黄鸡、鞋服/轻工</x:v>
      </x:c>
      <x:c r="D29" s="16" t="str">
        <x:v>B-/C+</x:v>
      </x:c>
      <x:c r="E29" s="16" t="str">
        <x:v>承压型</x:v>
      </x:c>
      <x:c r="F29" s="16" t="str">
        <x:v>大人口市场+产业承接</x:v>
      </x:c>
      <x:c r="G29" s="18" t="n">
        <x:v>62</x:v>
      </x:c>
      <x:c r="H29" s="18" t="n">
        <x:v>48</x:v>
      </x:c>
      <x:c r="I29" s="18" t="str">
        <x:f>IF(COUNTIFS('2020-2025时序'!$B$2:$B$439,$B29,'2020-2025时序'!$C$2:$C$439,2020,'2020-2025时序'!$D$2:$D$439,"&gt;0")=0,"",SUMIFS('2020-2025时序'!$D$2:$D$439,'2020-2025时序'!$B$2:$B$439,$B29,'2020-2025时序'!$C$2:$C$439,2020))</x:f>
      </x:c>
      <x:c r="J29" s="18" t="str">
        <x:f>IF(COUNTIFS('2020-2025时序'!$B$2:$B$439,$B29,'2020-2025时序'!$C$2:$C$439,2025,'2020-2025时序'!$D$2:$D$439,"&gt;0")=0,"",SUMIFS('2020-2025时序'!$D$2:$D$439,'2020-2025时序'!$B$2:$B$439,$B29,'2020-2025时序'!$C$2:$C$439,2025))</x:f>
      </x:c>
      <x:c r="K29" s="40" t="str">
        <x:f>IF(OR(I29="",J29=""),"",POWER(J29/I29,1/5)-1)</x:f>
      </x:c>
      <x:c r="L29" s="18" t="str">
        <x:f>IF(COUNTIFS('2020-2025时序'!$B$2:$B$439,$B29,'2020-2025时序'!$C$2:$C$439,2020,'2020-2025时序'!$E$2:$E$439,"&gt;0")=0,"",SUMIFS('2020-2025时序'!$E$2:$E$439,'2020-2025时序'!$B$2:$B$439,$B29,'2020-2025时序'!$C$2:$C$439,2020))</x:f>
      </x:c>
      <x:c r="M29" s="18" t="str">
        <x:f>IF(COUNTIFS('2020-2025时序'!$B$2:$B$439,$B29,'2020-2025时序'!$C$2:$C$439,2025,'2020-2025时序'!$E$2:$E$439,"&gt;0")=0,"",SUMIFS('2020-2025时序'!$E$2:$E$439,'2020-2025时序'!$B$2:$B$439,$B29,'2020-2025时序'!$C$2:$C$439,2025))</x:f>
      </x:c>
      <x:c r="N29" s="18" t="str">
        <x:f>IF(COUNTIFS('2020-2025时序'!$B$2:$B$439,$B29,'2020-2025时序'!$C$2:$C$439,2020,'2020-2025时序'!$F$2:$F$439,"&gt;0")=0,"",SUMIFS('2020-2025时序'!$F$2:$F$439,'2020-2025时序'!$B$2:$B$439,$B29,'2020-2025时序'!$C$2:$C$439,2020))</x:f>
      </x:c>
      <x:c r="O29" s="18" t="str">
        <x:f>IF(COUNTIFS('2020-2025时序'!$B$2:$B$439,$B29,'2020-2025时序'!$C$2:$C$439,2025,'2020-2025时序'!$F$2:$F$439,"&gt;0")=0,"",SUMIFS('2020-2025时序'!$F$2:$F$439,'2020-2025时序'!$B$2:$B$439,$B29,'2020-2025时序'!$C$2:$C$439,2025))</x:f>
      </x:c>
      <x:c r="P29" s="18" t="str">
        <x:f>IF(COUNTIFS('2020-2025时序'!$B$2:$B$439,$B29,'2020-2025时序'!$C$2:$C$439,2025,'2020-2025时序'!$G$2:$G$439,"&gt;0")=0,"",SUMIFS('2020-2025时序'!$G$2:$G$439,'2020-2025时序'!$B$2:$B$439,$B29,'2020-2025时序'!$C$2:$C$439,2025))</x:f>
      </x:c>
      <x:c r="Q29" s="18" t="str">
        <x:f>IF(COUNTIFS('2020-2025时序'!$B$2:$B$439,$B29,'2020-2025时序'!$C$2:$C$439,2025,'2020-2025时序'!$H$2:$H$439,"&gt;0")=0,"",SUMIFS('2020-2025时序'!$H$2:$H$439,'2020-2025时序'!$B$2:$B$439,$B29,'2020-2025时序'!$C$2:$C$439,2025))</x:f>
      </x:c>
      <x:c r="R29" s="18" t="str">
        <x:f>IF(COUNTIFS('2020-2025时序'!$B$2:$B$439,$B29,'2020-2025时序'!$C$2:$C$439,2025,'2020-2025时序'!$L$2:$L$439,"&gt;0")=0,"",SUMIFS('2020-2025时序'!$L$2:$L$439,'2020-2025时序'!$B$2:$B$439,$B29,'2020-2025时序'!$C$2:$C$439,2025))</x:f>
      </x:c>
      <x:c r="S29" s="18" t="str">
        <x:f>IF(COUNTIFS('2020-2025时序'!$B$2:$B$439,$B29,'2020-2025时序'!$C$2:$C$439,2025,'2020-2025时序'!$J$2:$J$439,"&gt;0")=0,"",SUMIFS('2020-2025时序'!$J$2:$J$439,'2020-2025时序'!$B$2:$B$439,$B29,'2020-2025时序'!$C$2:$C$439,2025))</x:f>
      </x:c>
      <x:c r="T29" s="41" t="str">
        <x:f>IF(OR(L29="",M29=""),"",IF(OR(N29="",O29=""),MIN(100,MAX(0,-(M29/L29-1)/0.10*100)),0.7*MIN(100,MAX(0,-(M29/L29-1)/0.10*100))+0.3*MIN(100,MAX(0,-(O29/N29-1)/0.50*100))))</x:f>
      </x:c>
      <x:c r="U29" s="41" t="str">
        <x:f>IF(OR(P29="",Q29="",Q29=0),"",MIN(100,MAX(0,100*(1-P29/Q29))))</x:f>
      </x:c>
      <x:c r="V29" s="41" t="str">
        <x:f>IFERROR(MIN(100,100*SUMIFS('2020-2025时序'!$O$2:$O$439,'2020-2025时序'!$B$2:$B$439,$B29,'2020-2025时序'!$C$2:$C$439,2025)/SUMIFS('2020-2025时序'!$J$2:$J$439,'2020-2025时序'!$B$2:$B$439,$B29,'2020-2025时序'!$C$2:$C$439,2025)),"")</x:f>
      </x:c>
      <x:c r="W29" s="41" t="str">
        <x:f>IF(OR(R29="",J29="",J29=0),"",MIN(100,100*R29/J29))</x:f>
      </x:c>
      <x:c r="X29" s="41" t="str">
        <x:f>IF(OR(K29="",T29="",U29="",W29=""),"",0.25*MIN(100,MAX(20,20+K29/0.08*80))+0.20*(100-T29)+0.20*(100-U29)+0.15*G29+0.10*(100-W29)+0.10*G29)</x:f>
      </x:c>
      <x:c r="Y29" s="41" t="n">
        <x:f>ROUND(100*COUNT(I29:S29)/11,0)</x:f>
        <x:v>0</x:v>
      </x:c>
      <x:c r="Z29" s="16" t="str">
        <x:f>IF(AND(J29&lt;&gt;"",K29&gt;0,M29&lt;&gt;"",L29&lt;&gt;"",M29&lt;L29),"表面增长/人口收缩",IF(AND(U29&lt;&gt;"",U29&gt;=80),"财政高度依赖",IF(E29="收缩风险","结构性收缩风险",IF(H29&gt;=75,"单一产业集中风险",""))))</x:f>
      </x:c>
      <x:c r="AA29" s="16" t="str">
        <x:f>"详见“2020-2025时序”逐年来源URL；产业与抓手为研究判断"</x:f>
        <x:v>详见“2020-2025时序”逐年来源URL；产业与抓手为研究判断</x:v>
      </x:c>
    </x:row>
    <x:row r="30">
      <x:c r="A30" s="16" t="str">
        <x:v>赣州市</x:v>
      </x:c>
      <x:c r="B30" s="16" t="str">
        <x:v>于都县</x:v>
      </x:c>
      <x:c r="C30" s="16" t="str">
        <x:v>纺织服装、电子、装备</x:v>
      </x:c>
      <x:c r="D30" s="16" t="str">
        <x:v>A-</x:v>
      </x:c>
      <x:c r="E30" s="16" t="str">
        <x:v>增长型</x:v>
      </x:c>
      <x:c r="F30" s="16" t="str">
        <x:v>服装集群品牌化、自动化</x:v>
      </x:c>
      <x:c r="G30" s="18" t="n">
        <x:v>85</x:v>
      </x:c>
      <x:c r="H30" s="18" t="n">
        <x:v>56</x:v>
      </x:c>
      <x:c r="I30" s="18" t="n">
        <x:f>IF(COUNTIFS('2020-2025时序'!$B$2:$B$439,$B30,'2020-2025时序'!$C$2:$C$439,2020,'2020-2025时序'!$D$2:$D$439,"&gt;0")=0,"",SUMIFS('2020-2025时序'!$D$2:$D$439,'2020-2025时序'!$B$2:$B$439,$B30,'2020-2025时序'!$C$2:$C$439,2020))</x:f>
        <x:v>279.4</x:v>
      </x:c>
      <x:c r="J30" s="18" t="str">
        <x:f>IF(COUNTIFS('2020-2025时序'!$B$2:$B$439,$B30,'2020-2025时序'!$C$2:$C$439,2025,'2020-2025时序'!$D$2:$D$439,"&gt;0")=0,"",SUMIFS('2020-2025时序'!$D$2:$D$439,'2020-2025时序'!$B$2:$B$439,$B30,'2020-2025时序'!$C$2:$C$439,2025))</x:f>
      </x:c>
      <x:c r="K30" s="40" t="str">
        <x:f>IF(OR(I30="",J30=""),"",POWER(J30/I30,1/5)-1)</x:f>
      </x:c>
      <x:c r="L30" s="18" t="str">
        <x:f>IF(COUNTIFS('2020-2025时序'!$B$2:$B$439,$B30,'2020-2025时序'!$C$2:$C$439,2020,'2020-2025时序'!$E$2:$E$439,"&gt;0")=0,"",SUMIFS('2020-2025时序'!$E$2:$E$439,'2020-2025时序'!$B$2:$B$439,$B30,'2020-2025时序'!$C$2:$C$439,2020))</x:f>
      </x:c>
      <x:c r="M30" s="18" t="str">
        <x:f>IF(COUNTIFS('2020-2025时序'!$B$2:$B$439,$B30,'2020-2025时序'!$C$2:$C$439,2025,'2020-2025时序'!$E$2:$E$439,"&gt;0")=0,"",SUMIFS('2020-2025时序'!$E$2:$E$439,'2020-2025时序'!$B$2:$B$439,$B30,'2020-2025时序'!$C$2:$C$439,2025))</x:f>
      </x:c>
      <x:c r="N30" s="18" t="str">
        <x:f>IF(COUNTIFS('2020-2025时序'!$B$2:$B$439,$B30,'2020-2025时序'!$C$2:$C$439,2020,'2020-2025时序'!$F$2:$F$439,"&gt;0")=0,"",SUMIFS('2020-2025时序'!$F$2:$F$439,'2020-2025时序'!$B$2:$B$439,$B30,'2020-2025时序'!$C$2:$C$439,2020))</x:f>
      </x:c>
      <x:c r="O30" s="18" t="str">
        <x:f>IF(COUNTIFS('2020-2025时序'!$B$2:$B$439,$B30,'2020-2025时序'!$C$2:$C$439,2025,'2020-2025时序'!$F$2:$F$439,"&gt;0")=0,"",SUMIFS('2020-2025时序'!$F$2:$F$439,'2020-2025时序'!$B$2:$B$439,$B30,'2020-2025时序'!$C$2:$C$439,2025))</x:f>
      </x:c>
      <x:c r="P30" s="18" t="str">
        <x:f>IF(COUNTIFS('2020-2025时序'!$B$2:$B$439,$B30,'2020-2025时序'!$C$2:$C$439,2025,'2020-2025时序'!$G$2:$G$439,"&gt;0")=0,"",SUMIFS('2020-2025时序'!$G$2:$G$439,'2020-2025时序'!$B$2:$B$439,$B30,'2020-2025时序'!$C$2:$C$439,2025))</x:f>
      </x:c>
      <x:c r="Q30" s="18" t="str">
        <x:f>IF(COUNTIFS('2020-2025时序'!$B$2:$B$439,$B30,'2020-2025时序'!$C$2:$C$439,2025,'2020-2025时序'!$H$2:$H$439,"&gt;0")=0,"",SUMIFS('2020-2025时序'!$H$2:$H$439,'2020-2025时序'!$B$2:$B$439,$B30,'2020-2025时序'!$C$2:$C$439,2025))</x:f>
      </x:c>
      <x:c r="R30" s="18" t="str">
        <x:f>IF(COUNTIFS('2020-2025时序'!$B$2:$B$439,$B30,'2020-2025时序'!$C$2:$C$439,2025,'2020-2025时序'!$L$2:$L$439,"&gt;0")=0,"",SUMIFS('2020-2025时序'!$L$2:$L$439,'2020-2025时序'!$B$2:$B$439,$B30,'2020-2025时序'!$C$2:$C$439,2025))</x:f>
      </x:c>
      <x:c r="S30" s="18" t="str">
        <x:f>IF(COUNTIFS('2020-2025时序'!$B$2:$B$439,$B30,'2020-2025时序'!$C$2:$C$439,2025,'2020-2025时序'!$J$2:$J$439,"&gt;0")=0,"",SUMIFS('2020-2025时序'!$J$2:$J$439,'2020-2025时序'!$B$2:$B$439,$B30,'2020-2025时序'!$C$2:$C$439,2025))</x:f>
      </x:c>
      <x:c r="T30" s="41" t="str">
        <x:f>IF(OR(L30="",M30=""),"",IF(OR(N30="",O30=""),MIN(100,MAX(0,-(M30/L30-1)/0.10*100)),0.7*MIN(100,MAX(0,-(M30/L30-1)/0.10*100))+0.3*MIN(100,MAX(0,-(O30/N30-1)/0.50*100))))</x:f>
      </x:c>
      <x:c r="U30" s="41" t="str">
        <x:f>IF(OR(P30="",Q30="",Q30=0),"",MIN(100,MAX(0,100*(1-P30/Q30))))</x:f>
      </x:c>
      <x:c r="V30" s="41" t="str">
        <x:f>IFERROR(MIN(100,100*SUMIFS('2020-2025时序'!$O$2:$O$439,'2020-2025时序'!$B$2:$B$439,$B30,'2020-2025时序'!$C$2:$C$439,2025)/SUMIFS('2020-2025时序'!$J$2:$J$439,'2020-2025时序'!$B$2:$B$439,$B30,'2020-2025时序'!$C$2:$C$439,2025)),"")</x:f>
      </x:c>
      <x:c r="W30" s="41" t="str">
        <x:f>IF(OR(R30="",J30="",J30=0),"",MIN(100,100*R30/J30))</x:f>
      </x:c>
      <x:c r="X30" s="41" t="str">
        <x:f>IF(OR(K30="",T30="",U30="",W30=""),"",0.25*MIN(100,MAX(20,20+K30/0.08*80))+0.20*(100-T30)+0.20*(100-U30)+0.15*G30+0.10*(100-W30)+0.10*G30)</x:f>
      </x:c>
      <x:c r="Y30" s="41" t="n">
        <x:f>ROUND(100*COUNT(I30:S30)/11,0)</x:f>
        <x:v>9</x:v>
      </x:c>
      <x:c r="Z30" s="16" t="str">
        <x:f>IF(AND(J30&lt;&gt;"",K30&gt;0,M30&lt;&gt;"",L30&lt;&gt;"",M30&lt;L30),"表面增长/人口收缩",IF(AND(U30&lt;&gt;"",U30&gt;=80),"财政高度依赖",IF(E30="收缩风险","结构性收缩风险",IF(H30&gt;=75,"单一产业集中风险",""))))</x:f>
      </x:c>
      <x:c r="AA30" s="16" t="str">
        <x:f>"详见“2020-2025时序”逐年来源URL；产业与抓手为研究判断"</x:f>
        <x:v>详见“2020-2025时序”逐年来源URL；产业与抓手为研究判断</x:v>
      </x:c>
    </x:row>
    <x:row r="31">
      <x:c r="A31" s="16" t="str">
        <x:v>赣州市</x:v>
      </x:c>
      <x:c r="B31" s="16" t="str">
        <x:v>兴国县</x:v>
      </x:c>
      <x:c r="C31" s="16" t="str">
        <x:v>电子、装备制造、农业、红色文旅</x:v>
      </x:c>
      <x:c r="D31" s="16" t="str">
        <x:v>B</x:v>
      </x:c>
      <x:c r="E31" s="16" t="str">
        <x:v>转型型</x:v>
      </x:c>
      <x:c r="F31" s="16" t="str">
        <x:v>赣州产业外溢、交通</x:v>
      </x:c>
      <x:c r="G31" s="18" t="n">
        <x:v>68</x:v>
      </x:c>
      <x:c r="H31" s="18" t="n">
        <x:v>46</x:v>
      </x:c>
      <x:c r="I31" s="18" t="str">
        <x:f>IF(COUNTIFS('2020-2025时序'!$B$2:$B$439,$B31,'2020-2025时序'!$C$2:$C$439,2020,'2020-2025时序'!$D$2:$D$439,"&gt;0")=0,"",SUMIFS('2020-2025时序'!$D$2:$D$439,'2020-2025时序'!$B$2:$B$439,$B31,'2020-2025时序'!$C$2:$C$439,2020))</x:f>
      </x:c>
      <x:c r="J31" s="18" t="str">
        <x:f>IF(COUNTIFS('2020-2025时序'!$B$2:$B$439,$B31,'2020-2025时序'!$C$2:$C$439,2025,'2020-2025时序'!$D$2:$D$439,"&gt;0")=0,"",SUMIFS('2020-2025时序'!$D$2:$D$439,'2020-2025时序'!$B$2:$B$439,$B31,'2020-2025时序'!$C$2:$C$439,2025))</x:f>
      </x:c>
      <x:c r="K31" s="40" t="str">
        <x:f>IF(OR(I31="",J31=""),"",POWER(J31/I31,1/5)-1)</x:f>
      </x:c>
      <x:c r="L31" s="18" t="str">
        <x:f>IF(COUNTIFS('2020-2025时序'!$B$2:$B$439,$B31,'2020-2025时序'!$C$2:$C$439,2020,'2020-2025时序'!$E$2:$E$439,"&gt;0")=0,"",SUMIFS('2020-2025时序'!$E$2:$E$439,'2020-2025时序'!$B$2:$B$439,$B31,'2020-2025时序'!$C$2:$C$439,2020))</x:f>
      </x:c>
      <x:c r="M31" s="18" t="str">
        <x:f>IF(COUNTIFS('2020-2025时序'!$B$2:$B$439,$B31,'2020-2025时序'!$C$2:$C$439,2025,'2020-2025时序'!$E$2:$E$439,"&gt;0")=0,"",SUMIFS('2020-2025时序'!$E$2:$E$439,'2020-2025时序'!$B$2:$B$439,$B31,'2020-2025时序'!$C$2:$C$439,2025))</x:f>
      </x:c>
      <x:c r="N31" s="18" t="str">
        <x:f>IF(COUNTIFS('2020-2025时序'!$B$2:$B$439,$B31,'2020-2025时序'!$C$2:$C$439,2020,'2020-2025时序'!$F$2:$F$439,"&gt;0")=0,"",SUMIFS('2020-2025时序'!$F$2:$F$439,'2020-2025时序'!$B$2:$B$439,$B31,'2020-2025时序'!$C$2:$C$439,2020))</x:f>
      </x:c>
      <x:c r="O31" s="18" t="str">
        <x:f>IF(COUNTIFS('2020-2025时序'!$B$2:$B$439,$B31,'2020-2025时序'!$C$2:$C$439,2025,'2020-2025时序'!$F$2:$F$439,"&gt;0")=0,"",SUMIFS('2020-2025时序'!$F$2:$F$439,'2020-2025时序'!$B$2:$B$439,$B31,'2020-2025时序'!$C$2:$C$439,2025))</x:f>
      </x:c>
      <x:c r="P31" s="18" t="str">
        <x:f>IF(COUNTIFS('2020-2025时序'!$B$2:$B$439,$B31,'2020-2025时序'!$C$2:$C$439,2025,'2020-2025时序'!$G$2:$G$439,"&gt;0")=0,"",SUMIFS('2020-2025时序'!$G$2:$G$439,'2020-2025时序'!$B$2:$B$439,$B31,'2020-2025时序'!$C$2:$C$439,2025))</x:f>
      </x:c>
      <x:c r="Q31" s="18" t="str">
        <x:f>IF(COUNTIFS('2020-2025时序'!$B$2:$B$439,$B31,'2020-2025时序'!$C$2:$C$439,2025,'2020-2025时序'!$H$2:$H$439,"&gt;0")=0,"",SUMIFS('2020-2025时序'!$H$2:$H$439,'2020-2025时序'!$B$2:$B$439,$B31,'2020-2025时序'!$C$2:$C$439,2025))</x:f>
      </x:c>
      <x:c r="R31" s="18" t="str">
        <x:f>IF(COUNTIFS('2020-2025时序'!$B$2:$B$439,$B31,'2020-2025时序'!$C$2:$C$439,2025,'2020-2025时序'!$L$2:$L$439,"&gt;0")=0,"",SUMIFS('2020-2025时序'!$L$2:$L$439,'2020-2025时序'!$B$2:$B$439,$B31,'2020-2025时序'!$C$2:$C$439,2025))</x:f>
      </x:c>
      <x:c r="S31" s="18" t="str">
        <x:f>IF(COUNTIFS('2020-2025时序'!$B$2:$B$439,$B31,'2020-2025时序'!$C$2:$C$439,2025,'2020-2025时序'!$J$2:$J$439,"&gt;0")=0,"",SUMIFS('2020-2025时序'!$J$2:$J$439,'2020-2025时序'!$B$2:$B$439,$B31,'2020-2025时序'!$C$2:$C$439,2025))</x:f>
      </x:c>
      <x:c r="T31" s="41" t="str">
        <x:f>IF(OR(L31="",M31=""),"",IF(OR(N31="",O31=""),MIN(100,MAX(0,-(M31/L31-1)/0.10*100)),0.7*MIN(100,MAX(0,-(M31/L31-1)/0.10*100))+0.3*MIN(100,MAX(0,-(O31/N31-1)/0.50*100))))</x:f>
      </x:c>
      <x:c r="U31" s="41" t="str">
        <x:f>IF(OR(P31="",Q31="",Q31=0),"",MIN(100,MAX(0,100*(1-P31/Q31))))</x:f>
      </x:c>
      <x:c r="V31" s="41" t="str">
        <x:f>IFERROR(MIN(100,100*SUMIFS('2020-2025时序'!$O$2:$O$439,'2020-2025时序'!$B$2:$B$439,$B31,'2020-2025时序'!$C$2:$C$439,2025)/SUMIFS('2020-2025时序'!$J$2:$J$439,'2020-2025时序'!$B$2:$B$439,$B31,'2020-2025时序'!$C$2:$C$439,2025)),"")</x:f>
      </x:c>
      <x:c r="W31" s="41" t="str">
        <x:f>IF(OR(R31="",J31="",J31=0),"",MIN(100,100*R31/J31))</x:f>
      </x:c>
      <x:c r="X31" s="41" t="str">
        <x:f>IF(OR(K31="",T31="",U31="",W31=""),"",0.25*MIN(100,MAX(20,20+K31/0.08*80))+0.20*(100-T31)+0.20*(100-U31)+0.15*G31+0.10*(100-W31)+0.10*G31)</x:f>
      </x:c>
      <x:c r="Y31" s="41" t="n">
        <x:f>ROUND(100*COUNT(I31:S31)/11,0)</x:f>
        <x:v>0</x:v>
      </x:c>
      <x:c r="Z31" s="16" t="str">
        <x:f>IF(AND(J31&lt;&gt;"",K31&gt;0,M31&lt;&gt;"",L31&lt;&gt;"",M31&lt;L31),"表面增长/人口收缩",IF(AND(U31&lt;&gt;"",U31&gt;=80),"财政高度依赖",IF(E31="收缩风险","结构性收缩风险",IF(H31&gt;=75,"单一产业集中风险",""))))</x:f>
      </x:c>
      <x:c r="AA31" s="16" t="str">
        <x:f>"详见“2020-2025时序”逐年来源URL；产业与抓手为研究判断"</x:f>
        <x:v>详见“2020-2025时序”逐年来源URL；产业与抓手为研究判断</x:v>
      </x:c>
    </x:row>
    <x:row r="32">
      <x:c r="A32" s="16" t="str">
        <x:v>赣州市</x:v>
      </x:c>
      <x:c r="B32" s="16" t="str">
        <x:v>会昌县</x:v>
      </x:c>
      <x:c r="C32" s="16" t="str">
        <x:v>氟盐化工、新材料、食品</x:v>
      </x:c>
      <x:c r="D32" s="16" t="str">
        <x:v>B+</x:v>
      </x:c>
      <x:c r="E32" s="16" t="str">
        <x:v>转型增长型</x:v>
      </x:c>
      <x:c r="F32" s="16" t="str">
        <x:v>氟化工精细化、高端材料</x:v>
      </x:c>
      <x:c r="G32" s="18" t="n">
        <x:v>77</x:v>
      </x:c>
      <x:c r="H32" s="18" t="n">
        <x:v>76</x:v>
      </x:c>
      <x:c r="I32" s="18" t="n">
        <x:f>IF(COUNTIFS('2020-2025时序'!$B$2:$B$439,$B32,'2020-2025时序'!$C$2:$C$439,2020,'2020-2025时序'!$D$2:$D$439,"&gt;0")=0,"",SUMIFS('2020-2025时序'!$D$2:$D$439,'2020-2025时序'!$B$2:$B$439,$B32,'2020-2025时序'!$C$2:$C$439,2020))</x:f>
        <x:v>134.3492</x:v>
      </x:c>
      <x:c r="J32" s="18" t="str">
        <x:f>IF(COUNTIFS('2020-2025时序'!$B$2:$B$439,$B32,'2020-2025时序'!$C$2:$C$439,2025,'2020-2025时序'!$D$2:$D$439,"&gt;0")=0,"",SUMIFS('2020-2025时序'!$D$2:$D$439,'2020-2025时序'!$B$2:$B$439,$B32,'2020-2025时序'!$C$2:$C$439,2025))</x:f>
      </x:c>
      <x:c r="K32" s="40" t="str">
        <x:f>IF(OR(I32="",J32=""),"",POWER(J32/I32,1/5)-1)</x:f>
      </x:c>
      <x:c r="L32" s="18" t="str">
        <x:f>IF(COUNTIFS('2020-2025时序'!$B$2:$B$439,$B32,'2020-2025时序'!$C$2:$C$439,2020,'2020-2025时序'!$E$2:$E$439,"&gt;0")=0,"",SUMIFS('2020-2025时序'!$E$2:$E$439,'2020-2025时序'!$B$2:$B$439,$B32,'2020-2025时序'!$C$2:$C$439,2020))</x:f>
      </x:c>
      <x:c r="M32" s="18" t="str">
        <x:f>IF(COUNTIFS('2020-2025时序'!$B$2:$B$439,$B32,'2020-2025时序'!$C$2:$C$439,2025,'2020-2025时序'!$E$2:$E$439,"&gt;0")=0,"",SUMIFS('2020-2025时序'!$E$2:$E$439,'2020-2025时序'!$B$2:$B$439,$B32,'2020-2025时序'!$C$2:$C$439,2025))</x:f>
      </x:c>
      <x:c r="N32" s="18" t="str">
        <x:f>IF(COUNTIFS('2020-2025时序'!$B$2:$B$439,$B32,'2020-2025时序'!$C$2:$C$439,2020,'2020-2025时序'!$F$2:$F$439,"&gt;0")=0,"",SUMIFS('2020-2025时序'!$F$2:$F$439,'2020-2025时序'!$B$2:$B$439,$B32,'2020-2025时序'!$C$2:$C$439,2020))</x:f>
      </x:c>
      <x:c r="O32" s="18" t="str">
        <x:f>IF(COUNTIFS('2020-2025时序'!$B$2:$B$439,$B32,'2020-2025时序'!$C$2:$C$439,2025,'2020-2025时序'!$F$2:$F$439,"&gt;0")=0,"",SUMIFS('2020-2025时序'!$F$2:$F$439,'2020-2025时序'!$B$2:$B$439,$B32,'2020-2025时序'!$C$2:$C$439,2025))</x:f>
      </x:c>
      <x:c r="P32" s="18" t="str">
        <x:f>IF(COUNTIFS('2020-2025时序'!$B$2:$B$439,$B32,'2020-2025时序'!$C$2:$C$439,2025,'2020-2025时序'!$G$2:$G$439,"&gt;0")=0,"",SUMIFS('2020-2025时序'!$G$2:$G$439,'2020-2025时序'!$B$2:$B$439,$B32,'2020-2025时序'!$C$2:$C$439,2025))</x:f>
      </x:c>
      <x:c r="Q32" s="18" t="str">
        <x:f>IF(COUNTIFS('2020-2025时序'!$B$2:$B$439,$B32,'2020-2025时序'!$C$2:$C$439,2025,'2020-2025时序'!$H$2:$H$439,"&gt;0")=0,"",SUMIFS('2020-2025时序'!$H$2:$H$439,'2020-2025时序'!$B$2:$B$439,$B32,'2020-2025时序'!$C$2:$C$439,2025))</x:f>
      </x:c>
      <x:c r="R32" s="18" t="str">
        <x:f>IF(COUNTIFS('2020-2025时序'!$B$2:$B$439,$B32,'2020-2025时序'!$C$2:$C$439,2025,'2020-2025时序'!$L$2:$L$439,"&gt;0")=0,"",SUMIFS('2020-2025时序'!$L$2:$L$439,'2020-2025时序'!$B$2:$B$439,$B32,'2020-2025时序'!$C$2:$C$439,2025))</x:f>
      </x:c>
      <x:c r="S32" s="18" t="str">
        <x:f>IF(COUNTIFS('2020-2025时序'!$B$2:$B$439,$B32,'2020-2025时序'!$C$2:$C$439,2025,'2020-2025时序'!$J$2:$J$439,"&gt;0")=0,"",SUMIFS('2020-2025时序'!$J$2:$J$439,'2020-2025时序'!$B$2:$B$439,$B32,'2020-2025时序'!$C$2:$C$439,2025))</x:f>
      </x:c>
      <x:c r="T32" s="41" t="str">
        <x:f>IF(OR(L32="",M32=""),"",IF(OR(N32="",O32=""),MIN(100,MAX(0,-(M32/L32-1)/0.10*100)),0.7*MIN(100,MAX(0,-(M32/L32-1)/0.10*100))+0.3*MIN(100,MAX(0,-(O32/N32-1)/0.50*100))))</x:f>
      </x:c>
      <x:c r="U32" s="41" t="str">
        <x:f>IF(OR(P32="",Q32="",Q32=0),"",MIN(100,MAX(0,100*(1-P32/Q32))))</x:f>
      </x:c>
      <x:c r="V32" s="41" t="str">
        <x:f>IFERROR(MIN(100,100*SUMIFS('2020-2025时序'!$O$2:$O$439,'2020-2025时序'!$B$2:$B$439,$B32,'2020-2025时序'!$C$2:$C$439,2025)/SUMIFS('2020-2025时序'!$J$2:$J$439,'2020-2025时序'!$B$2:$B$439,$B32,'2020-2025时序'!$C$2:$C$439,2025)),"")</x:f>
      </x:c>
      <x:c r="W32" s="41" t="str">
        <x:f>IF(OR(R32="",J32="",J32=0),"",MIN(100,100*R32/J32))</x:f>
      </x:c>
      <x:c r="X32" s="41" t="str">
        <x:f>IF(OR(K32="",T32="",U32="",W32=""),"",0.25*MIN(100,MAX(20,20+K32/0.08*80))+0.20*(100-T32)+0.20*(100-U32)+0.15*G32+0.10*(100-W32)+0.10*G32)</x:f>
      </x:c>
      <x:c r="Y32" s="41" t="n">
        <x:f>ROUND(100*COUNT(I32:S32)/11,0)</x:f>
        <x:v>9</x:v>
      </x:c>
      <x:c r="Z32" s="16" t="str">
        <x:f>IF(AND(J32&lt;&gt;"",K32&gt;0,M32&lt;&gt;"",L32&lt;&gt;"",M32&lt;L32),"表面增长/人口收缩",IF(AND(U32&lt;&gt;"",U32&gt;=80),"财政高度依赖",IF(E32="收缩风险","结构性收缩风险",IF(H32&gt;=75,"单一产业集中风险",""))))</x:f>
        <x:v>单一产业集中风险</x:v>
      </x:c>
      <x:c r="AA32" s="16" t="str">
        <x:f>"详见“2020-2025时序”逐年来源URL；产业与抓手为研究判断"</x:f>
        <x:v>详见“2020-2025时序”逐年来源URL；产业与抓手为研究判断</x:v>
      </x:c>
    </x:row>
    <x:row r="33">
      <x:c r="A33" s="16" t="str">
        <x:v>赣州市</x:v>
      </x:c>
      <x:c r="B33" s="16" t="str">
        <x:v>寻乌县</x:v>
      </x:c>
      <x:c r="C33" s="16" t="str">
        <x:v>脐橙农业、食品、新材料/轻工</x:v>
      </x:c>
      <x:c r="D33" s="16" t="str">
        <x:v>C+/B-</x:v>
      </x:c>
      <x:c r="E33" s="16" t="str">
        <x:v>承压型</x:v>
      </x:c>
      <x:c r="F33" s="16" t="str">
        <x:v>湾区供应链、农业加工</x:v>
      </x:c>
      <x:c r="G33" s="18" t="n">
        <x:v>60</x:v>
      </x:c>
      <x:c r="H33" s="18" t="n">
        <x:v>56</x:v>
      </x:c>
      <x:c r="I33" s="18" t="str">
        <x:f>IF(COUNTIFS('2020-2025时序'!$B$2:$B$439,$B33,'2020-2025时序'!$C$2:$C$439,2020,'2020-2025时序'!$D$2:$D$439,"&gt;0")=0,"",SUMIFS('2020-2025时序'!$D$2:$D$439,'2020-2025时序'!$B$2:$B$439,$B33,'2020-2025时序'!$C$2:$C$439,2020))</x:f>
      </x:c>
      <x:c r="J33" s="18" t="str">
        <x:f>IF(COUNTIFS('2020-2025时序'!$B$2:$B$439,$B33,'2020-2025时序'!$C$2:$C$439,2025,'2020-2025时序'!$D$2:$D$439,"&gt;0")=0,"",SUMIFS('2020-2025时序'!$D$2:$D$439,'2020-2025时序'!$B$2:$B$439,$B33,'2020-2025时序'!$C$2:$C$439,2025))</x:f>
      </x:c>
      <x:c r="K33" s="40" t="str">
        <x:f>IF(OR(I33="",J33=""),"",POWER(J33/I33,1/5)-1)</x:f>
      </x:c>
      <x:c r="L33" s="18" t="str">
        <x:f>IF(COUNTIFS('2020-2025时序'!$B$2:$B$439,$B33,'2020-2025时序'!$C$2:$C$439,2020,'2020-2025时序'!$E$2:$E$439,"&gt;0")=0,"",SUMIFS('2020-2025时序'!$E$2:$E$439,'2020-2025时序'!$B$2:$B$439,$B33,'2020-2025时序'!$C$2:$C$439,2020))</x:f>
      </x:c>
      <x:c r="M33" s="18" t="str">
        <x:f>IF(COUNTIFS('2020-2025时序'!$B$2:$B$439,$B33,'2020-2025时序'!$C$2:$C$439,2025,'2020-2025时序'!$E$2:$E$439,"&gt;0")=0,"",SUMIFS('2020-2025时序'!$E$2:$E$439,'2020-2025时序'!$B$2:$B$439,$B33,'2020-2025时序'!$C$2:$C$439,2025))</x:f>
      </x:c>
      <x:c r="N33" s="18" t="str">
        <x:f>IF(COUNTIFS('2020-2025时序'!$B$2:$B$439,$B33,'2020-2025时序'!$C$2:$C$439,2020,'2020-2025时序'!$F$2:$F$439,"&gt;0")=0,"",SUMIFS('2020-2025时序'!$F$2:$F$439,'2020-2025时序'!$B$2:$B$439,$B33,'2020-2025时序'!$C$2:$C$439,2020))</x:f>
      </x:c>
      <x:c r="O33" s="18" t="str">
        <x:f>IF(COUNTIFS('2020-2025时序'!$B$2:$B$439,$B33,'2020-2025时序'!$C$2:$C$439,2025,'2020-2025时序'!$F$2:$F$439,"&gt;0")=0,"",SUMIFS('2020-2025时序'!$F$2:$F$439,'2020-2025时序'!$B$2:$B$439,$B33,'2020-2025时序'!$C$2:$C$439,2025))</x:f>
      </x:c>
      <x:c r="P33" s="18" t="str">
        <x:f>IF(COUNTIFS('2020-2025时序'!$B$2:$B$439,$B33,'2020-2025时序'!$C$2:$C$439,2025,'2020-2025时序'!$G$2:$G$439,"&gt;0")=0,"",SUMIFS('2020-2025时序'!$G$2:$G$439,'2020-2025时序'!$B$2:$B$439,$B33,'2020-2025时序'!$C$2:$C$439,2025))</x:f>
      </x:c>
      <x:c r="Q33" s="18" t="str">
        <x:f>IF(COUNTIFS('2020-2025时序'!$B$2:$B$439,$B33,'2020-2025时序'!$C$2:$C$439,2025,'2020-2025时序'!$H$2:$H$439,"&gt;0")=0,"",SUMIFS('2020-2025时序'!$H$2:$H$439,'2020-2025时序'!$B$2:$B$439,$B33,'2020-2025时序'!$C$2:$C$439,2025))</x:f>
      </x:c>
      <x:c r="R33" s="18" t="str">
        <x:f>IF(COUNTIFS('2020-2025时序'!$B$2:$B$439,$B33,'2020-2025时序'!$C$2:$C$439,2025,'2020-2025时序'!$L$2:$L$439,"&gt;0")=0,"",SUMIFS('2020-2025时序'!$L$2:$L$439,'2020-2025时序'!$B$2:$B$439,$B33,'2020-2025时序'!$C$2:$C$439,2025))</x:f>
      </x:c>
      <x:c r="S33" s="18" t="str">
        <x:f>IF(COUNTIFS('2020-2025时序'!$B$2:$B$439,$B33,'2020-2025时序'!$C$2:$C$439,2025,'2020-2025时序'!$J$2:$J$439,"&gt;0")=0,"",SUMIFS('2020-2025时序'!$J$2:$J$439,'2020-2025时序'!$B$2:$B$439,$B33,'2020-2025时序'!$C$2:$C$439,2025))</x:f>
      </x:c>
      <x:c r="T33" s="41" t="str">
        <x:f>IF(OR(L33="",M33=""),"",IF(OR(N33="",O33=""),MIN(100,MAX(0,-(M33/L33-1)/0.10*100)),0.7*MIN(100,MAX(0,-(M33/L33-1)/0.10*100))+0.3*MIN(100,MAX(0,-(O33/N33-1)/0.50*100))))</x:f>
      </x:c>
      <x:c r="U33" s="41" t="str">
        <x:f>IF(OR(P33="",Q33="",Q33=0),"",MIN(100,MAX(0,100*(1-P33/Q33))))</x:f>
      </x:c>
      <x:c r="V33" s="41" t="str">
        <x:f>IFERROR(MIN(100,100*SUMIFS('2020-2025时序'!$O$2:$O$439,'2020-2025时序'!$B$2:$B$439,$B33,'2020-2025时序'!$C$2:$C$439,2025)/SUMIFS('2020-2025时序'!$J$2:$J$439,'2020-2025时序'!$B$2:$B$439,$B33,'2020-2025时序'!$C$2:$C$439,2025)),"")</x:f>
      </x:c>
      <x:c r="W33" s="41" t="str">
        <x:f>IF(OR(R33="",J33="",J33=0),"",MIN(100,100*R33/J33))</x:f>
      </x:c>
      <x:c r="X33" s="41" t="str">
        <x:f>IF(OR(K33="",T33="",U33="",W33=""),"",0.25*MIN(100,MAX(20,20+K33/0.08*80))+0.20*(100-T33)+0.20*(100-U33)+0.15*G33+0.10*(100-W33)+0.10*G33)</x:f>
      </x:c>
      <x:c r="Y33" s="41" t="n">
        <x:f>ROUND(100*COUNT(I33:S33)/11,0)</x:f>
        <x:v>0</x:v>
      </x:c>
      <x:c r="Z33" s="16" t="str">
        <x:f>IF(AND(J33&lt;&gt;"",K33&gt;0,M33&lt;&gt;"",L33&lt;&gt;"",M33&lt;L33),"表面增长/人口收缩",IF(AND(U33&lt;&gt;"",U33&gt;=80),"财政高度依赖",IF(E33="收缩风险","结构性收缩风险",IF(H33&gt;=75,"单一产业集中风险",""))))</x:f>
      </x:c>
      <x:c r="AA33" s="16" t="str">
        <x:f>"详见“2020-2025时序”逐年来源URL；产业与抓手为研究判断"</x:f>
        <x:v>详见“2020-2025时序”逐年来源URL；产业与抓手为研究判断</x:v>
      </x:c>
    </x:row>
    <x:row r="34">
      <x:c r="A34" s="16" t="str">
        <x:v>赣州市</x:v>
      </x:c>
      <x:c r="B34" s="16" t="str">
        <x:v>石城县</x:v>
      </x:c>
      <x:c r="C34" s="16" t="str">
        <x:v>鞋服、白莲、旅游</x:v>
      </x:c>
      <x:c r="D34" s="16" t="str">
        <x:v>C</x:v>
      </x:c>
      <x:c r="E34" s="16" t="str">
        <x:v>承压型</x:v>
      </x:c>
      <x:c r="F34" s="16" t="str">
        <x:v>鞋服升级、温泉旅游</x:v>
      </x:c>
      <x:c r="G34" s="18" t="n">
        <x:v>52</x:v>
      </x:c>
      <x:c r="H34" s="18" t="n">
        <x:v>76</x:v>
      </x:c>
      <x:c r="I34" s="18" t="str">
        <x:f>IF(COUNTIFS('2020-2025时序'!$B$2:$B$439,$B34,'2020-2025时序'!$C$2:$C$439,2020,'2020-2025时序'!$D$2:$D$439,"&gt;0")=0,"",SUMIFS('2020-2025时序'!$D$2:$D$439,'2020-2025时序'!$B$2:$B$439,$B34,'2020-2025时序'!$C$2:$C$439,2020))</x:f>
      </x:c>
      <x:c r="J34" s="18" t="str">
        <x:f>IF(COUNTIFS('2020-2025时序'!$B$2:$B$439,$B34,'2020-2025时序'!$C$2:$C$439,2025,'2020-2025时序'!$D$2:$D$439,"&gt;0")=0,"",SUMIFS('2020-2025时序'!$D$2:$D$439,'2020-2025时序'!$B$2:$B$439,$B34,'2020-2025时序'!$C$2:$C$439,2025))</x:f>
      </x:c>
      <x:c r="K34" s="40" t="str">
        <x:f>IF(OR(I34="",J34=""),"",POWER(J34/I34,1/5)-1)</x:f>
      </x:c>
      <x:c r="L34" s="18" t="str">
        <x:f>IF(COUNTIFS('2020-2025时序'!$B$2:$B$439,$B34,'2020-2025时序'!$C$2:$C$439,2020,'2020-2025时序'!$E$2:$E$439,"&gt;0")=0,"",SUMIFS('2020-2025时序'!$E$2:$E$439,'2020-2025时序'!$B$2:$B$439,$B34,'2020-2025时序'!$C$2:$C$439,2020))</x:f>
      </x:c>
      <x:c r="M34" s="18" t="str">
        <x:f>IF(COUNTIFS('2020-2025时序'!$B$2:$B$439,$B34,'2020-2025时序'!$C$2:$C$439,2025,'2020-2025时序'!$E$2:$E$439,"&gt;0")=0,"",SUMIFS('2020-2025时序'!$E$2:$E$439,'2020-2025时序'!$B$2:$B$439,$B34,'2020-2025时序'!$C$2:$C$439,2025))</x:f>
      </x:c>
      <x:c r="N34" s="18" t="str">
        <x:f>IF(COUNTIFS('2020-2025时序'!$B$2:$B$439,$B34,'2020-2025时序'!$C$2:$C$439,2020,'2020-2025时序'!$F$2:$F$439,"&gt;0")=0,"",SUMIFS('2020-2025时序'!$F$2:$F$439,'2020-2025时序'!$B$2:$B$439,$B34,'2020-2025时序'!$C$2:$C$439,2020))</x:f>
      </x:c>
      <x:c r="O34" s="18" t="str">
        <x:f>IF(COUNTIFS('2020-2025时序'!$B$2:$B$439,$B34,'2020-2025时序'!$C$2:$C$439,2025,'2020-2025时序'!$F$2:$F$439,"&gt;0")=0,"",SUMIFS('2020-2025时序'!$F$2:$F$439,'2020-2025时序'!$B$2:$B$439,$B34,'2020-2025时序'!$C$2:$C$439,2025))</x:f>
      </x:c>
      <x:c r="P34" s="18" t="str">
        <x:f>IF(COUNTIFS('2020-2025时序'!$B$2:$B$439,$B34,'2020-2025时序'!$C$2:$C$439,2025,'2020-2025时序'!$G$2:$G$439,"&gt;0")=0,"",SUMIFS('2020-2025时序'!$G$2:$G$439,'2020-2025时序'!$B$2:$B$439,$B34,'2020-2025时序'!$C$2:$C$439,2025))</x:f>
      </x:c>
      <x:c r="Q34" s="18" t="str">
        <x:f>IF(COUNTIFS('2020-2025时序'!$B$2:$B$439,$B34,'2020-2025时序'!$C$2:$C$439,2025,'2020-2025时序'!$H$2:$H$439,"&gt;0")=0,"",SUMIFS('2020-2025时序'!$H$2:$H$439,'2020-2025时序'!$B$2:$B$439,$B34,'2020-2025时序'!$C$2:$C$439,2025))</x:f>
      </x:c>
      <x:c r="R34" s="18" t="str">
        <x:f>IF(COUNTIFS('2020-2025时序'!$B$2:$B$439,$B34,'2020-2025时序'!$C$2:$C$439,2025,'2020-2025时序'!$L$2:$L$439,"&gt;0")=0,"",SUMIFS('2020-2025时序'!$L$2:$L$439,'2020-2025时序'!$B$2:$B$439,$B34,'2020-2025时序'!$C$2:$C$439,2025))</x:f>
      </x:c>
      <x:c r="S34" s="18" t="str">
        <x:f>IF(COUNTIFS('2020-2025时序'!$B$2:$B$439,$B34,'2020-2025时序'!$C$2:$C$439,2025,'2020-2025时序'!$J$2:$J$439,"&gt;0")=0,"",SUMIFS('2020-2025时序'!$J$2:$J$439,'2020-2025时序'!$B$2:$B$439,$B34,'2020-2025时序'!$C$2:$C$439,2025))</x:f>
      </x:c>
      <x:c r="T34" s="41" t="str">
        <x:f>IF(OR(L34="",M34=""),"",IF(OR(N34="",O34=""),MIN(100,MAX(0,-(M34/L34-1)/0.10*100)),0.7*MIN(100,MAX(0,-(M34/L34-1)/0.10*100))+0.3*MIN(100,MAX(0,-(O34/N34-1)/0.50*100))))</x:f>
      </x:c>
      <x:c r="U34" s="41" t="str">
        <x:f>IF(OR(P34="",Q34="",Q34=0),"",MIN(100,MAX(0,100*(1-P34/Q34))))</x:f>
      </x:c>
      <x:c r="V34" s="41" t="str">
        <x:f>IFERROR(MIN(100,100*SUMIFS('2020-2025时序'!$O$2:$O$439,'2020-2025时序'!$B$2:$B$439,$B34,'2020-2025时序'!$C$2:$C$439,2025)/SUMIFS('2020-2025时序'!$J$2:$J$439,'2020-2025时序'!$B$2:$B$439,$B34,'2020-2025时序'!$C$2:$C$439,2025)),"")</x:f>
      </x:c>
      <x:c r="W34" s="41" t="str">
        <x:f>IF(OR(R34="",J34="",J34=0),"",MIN(100,100*R34/J34))</x:f>
      </x:c>
      <x:c r="X34" s="41" t="str">
        <x:f>IF(OR(K34="",T34="",U34="",W34=""),"",0.25*MIN(100,MAX(20,20+K34/0.08*80))+0.20*(100-T34)+0.20*(100-U34)+0.15*G34+0.10*(100-W34)+0.10*G34)</x:f>
      </x:c>
      <x:c r="Y34" s="41" t="n">
        <x:f>ROUND(100*COUNT(I34:S34)/11,0)</x:f>
        <x:v>0</x:v>
      </x:c>
      <x:c r="Z34" s="16" t="str">
        <x:f>IF(AND(J34&lt;&gt;"",K34&gt;0,M34&lt;&gt;"",L34&lt;&gt;"",M34&lt;L34),"表面增长/人口收缩",IF(AND(U34&lt;&gt;"",U34&gt;=80),"财政高度依赖",IF(E34="收缩风险","结构性收缩风险",IF(H34&gt;=75,"单一产业集中风险",""))))</x:f>
        <x:v>单一产业集中风险</x:v>
      </x:c>
      <x:c r="AA34" s="16" t="str">
        <x:f>"详见“2020-2025时序”逐年来源URL；产业与抓手为研究判断"</x:f>
        <x:v>详见“2020-2025时序”逐年来源URL；产业与抓手为研究判断</x:v>
      </x:c>
    </x:row>
    <x:row r="35">
      <x:c r="A35" s="16" t="str">
        <x:v>赣州市</x:v>
      </x:c>
      <x:c r="B35" s="16" t="str">
        <x:v>瑞金市</x:v>
      </x:c>
      <x:c r="C35" s="16" t="str">
        <x:v>电子、纺织、食品医药、红色旅游</x:v>
      </x:c>
      <x:c r="D35" s="16" t="str">
        <x:v>B+</x:v>
      </x:c>
      <x:c r="E35" s="16" t="str">
        <x:v>转型增长型</x:v>
      </x:c>
      <x:c r="F35" s="16" t="str">
        <x:v>区域中心+产业承接</x:v>
      </x:c>
      <x:c r="G35" s="18" t="n">
        <x:v>77</x:v>
      </x:c>
      <x:c r="H35" s="18" t="n">
        <x:v>46</x:v>
      </x:c>
      <x:c r="I35" s="18" t="str">
        <x:f>IF(COUNTIFS('2020-2025时序'!$B$2:$B$439,$B35,'2020-2025时序'!$C$2:$C$439,2020,'2020-2025时序'!$D$2:$D$439,"&gt;0")=0,"",SUMIFS('2020-2025时序'!$D$2:$D$439,'2020-2025时序'!$B$2:$B$439,$B35,'2020-2025时序'!$C$2:$C$439,2020))</x:f>
      </x:c>
      <x:c r="J35" s="18" t="str">
        <x:f>IF(COUNTIFS('2020-2025时序'!$B$2:$B$439,$B35,'2020-2025时序'!$C$2:$C$439,2025,'2020-2025时序'!$D$2:$D$439,"&gt;0")=0,"",SUMIFS('2020-2025时序'!$D$2:$D$439,'2020-2025时序'!$B$2:$B$439,$B35,'2020-2025时序'!$C$2:$C$439,2025))</x:f>
      </x:c>
      <x:c r="K35" s="40" t="str">
        <x:f>IF(OR(I35="",J35=""),"",POWER(J35/I35,1/5)-1)</x:f>
      </x:c>
      <x:c r="L35" s="18" t="str">
        <x:f>IF(COUNTIFS('2020-2025时序'!$B$2:$B$439,$B35,'2020-2025时序'!$C$2:$C$439,2020,'2020-2025时序'!$E$2:$E$439,"&gt;0")=0,"",SUMIFS('2020-2025时序'!$E$2:$E$439,'2020-2025时序'!$B$2:$B$439,$B35,'2020-2025时序'!$C$2:$C$439,2020))</x:f>
      </x:c>
      <x:c r="M35" s="18" t="str">
        <x:f>IF(COUNTIFS('2020-2025时序'!$B$2:$B$439,$B35,'2020-2025时序'!$C$2:$C$439,2025,'2020-2025时序'!$E$2:$E$439,"&gt;0")=0,"",SUMIFS('2020-2025时序'!$E$2:$E$439,'2020-2025时序'!$B$2:$B$439,$B35,'2020-2025时序'!$C$2:$C$439,2025))</x:f>
      </x:c>
      <x:c r="N35" s="18" t="str">
        <x:f>IF(COUNTIFS('2020-2025时序'!$B$2:$B$439,$B35,'2020-2025时序'!$C$2:$C$439,2020,'2020-2025时序'!$F$2:$F$439,"&gt;0")=0,"",SUMIFS('2020-2025时序'!$F$2:$F$439,'2020-2025时序'!$B$2:$B$439,$B35,'2020-2025时序'!$C$2:$C$439,2020))</x:f>
      </x:c>
      <x:c r="O35" s="18" t="str">
        <x:f>IF(COUNTIFS('2020-2025时序'!$B$2:$B$439,$B35,'2020-2025时序'!$C$2:$C$439,2025,'2020-2025时序'!$F$2:$F$439,"&gt;0")=0,"",SUMIFS('2020-2025时序'!$F$2:$F$439,'2020-2025时序'!$B$2:$B$439,$B35,'2020-2025时序'!$C$2:$C$439,2025))</x:f>
      </x:c>
      <x:c r="P35" s="18" t="str">
        <x:f>IF(COUNTIFS('2020-2025时序'!$B$2:$B$439,$B35,'2020-2025时序'!$C$2:$C$439,2025,'2020-2025时序'!$G$2:$G$439,"&gt;0")=0,"",SUMIFS('2020-2025时序'!$G$2:$G$439,'2020-2025时序'!$B$2:$B$439,$B35,'2020-2025时序'!$C$2:$C$439,2025))</x:f>
      </x:c>
      <x:c r="Q35" s="18" t="str">
        <x:f>IF(COUNTIFS('2020-2025时序'!$B$2:$B$439,$B35,'2020-2025时序'!$C$2:$C$439,2025,'2020-2025时序'!$H$2:$H$439,"&gt;0")=0,"",SUMIFS('2020-2025时序'!$H$2:$H$439,'2020-2025时序'!$B$2:$B$439,$B35,'2020-2025时序'!$C$2:$C$439,2025))</x:f>
      </x:c>
      <x:c r="R35" s="18" t="str">
        <x:f>IF(COUNTIFS('2020-2025时序'!$B$2:$B$439,$B35,'2020-2025时序'!$C$2:$C$439,2025,'2020-2025时序'!$L$2:$L$439,"&gt;0")=0,"",SUMIFS('2020-2025时序'!$L$2:$L$439,'2020-2025时序'!$B$2:$B$439,$B35,'2020-2025时序'!$C$2:$C$439,2025))</x:f>
      </x:c>
      <x:c r="S35" s="18" t="str">
        <x:f>IF(COUNTIFS('2020-2025时序'!$B$2:$B$439,$B35,'2020-2025时序'!$C$2:$C$439,2025,'2020-2025时序'!$J$2:$J$439,"&gt;0")=0,"",SUMIFS('2020-2025时序'!$J$2:$J$439,'2020-2025时序'!$B$2:$B$439,$B35,'2020-2025时序'!$C$2:$C$439,2025))</x:f>
      </x:c>
      <x:c r="T35" s="41" t="str">
        <x:f>IF(OR(L35="",M35=""),"",IF(OR(N35="",O35=""),MIN(100,MAX(0,-(M35/L35-1)/0.10*100)),0.7*MIN(100,MAX(0,-(M35/L35-1)/0.10*100))+0.3*MIN(100,MAX(0,-(O35/N35-1)/0.50*100))))</x:f>
      </x:c>
      <x:c r="U35" s="41" t="str">
        <x:f>IF(OR(P35="",Q35="",Q35=0),"",MIN(100,MAX(0,100*(1-P35/Q35))))</x:f>
      </x:c>
      <x:c r="V35" s="41" t="str">
        <x:f>IFERROR(MIN(100,100*SUMIFS('2020-2025时序'!$O$2:$O$439,'2020-2025时序'!$B$2:$B$439,$B35,'2020-2025时序'!$C$2:$C$439,2025)/SUMIFS('2020-2025时序'!$J$2:$J$439,'2020-2025时序'!$B$2:$B$439,$B35,'2020-2025时序'!$C$2:$C$439,2025)),"")</x:f>
      </x:c>
      <x:c r="W35" s="41" t="str">
        <x:f>IF(OR(R35="",J35="",J35=0),"",MIN(100,100*R35/J35))</x:f>
      </x:c>
      <x:c r="X35" s="41" t="str">
        <x:f>IF(OR(K35="",T35="",U35="",W35=""),"",0.25*MIN(100,MAX(20,20+K35/0.08*80))+0.20*(100-T35)+0.20*(100-U35)+0.15*G35+0.10*(100-W35)+0.10*G35)</x:f>
      </x:c>
      <x:c r="Y35" s="41" t="n">
        <x:f>ROUND(100*COUNT(I35:S35)/11,0)</x:f>
        <x:v>0</x:v>
      </x:c>
      <x:c r="Z35" s="16" t="str">
        <x:f>IF(AND(J35&lt;&gt;"",K35&gt;0,M35&lt;&gt;"",L35&lt;&gt;"",M35&lt;L35),"表面增长/人口收缩",IF(AND(U35&lt;&gt;"",U35&gt;=80),"财政高度依赖",IF(E35="收缩风险","结构性收缩风险",IF(H35&gt;=75,"单一产业集中风险",""))))</x:f>
      </x:c>
      <x:c r="AA35" s="16" t="str">
        <x:f>"详见“2020-2025时序”逐年来源URL；产业与抓手为研究判断"</x:f>
        <x:v>详见“2020-2025时序”逐年来源URL；产业与抓手为研究判断</x:v>
      </x:c>
    </x:row>
    <x:row r="36">
      <x:c r="A36" s="16" t="str">
        <x:v>赣州市</x:v>
      </x:c>
      <x:c r="B36" s="16" t="str">
        <x:v>龙南市</x:v>
      </x:c>
      <x:c r="C36" s="16" t="str">
        <x:v>电子信息、PCB、新材料、锂电材料</x:v>
      </x:c>
      <x:c r="D36" s="16" t="str">
        <x:v>A</x:v>
      </x:c>
      <x:c r="E36" s="16" t="str">
        <x:v>增长型</x:v>
      </x:c>
      <x:c r="F36" s="16" t="str">
        <x:v>大湾区产业转移、国家级经开区</x:v>
      </x:c>
      <x:c r="G36" s="18" t="n">
        <x:v>90</x:v>
      </x:c>
      <x:c r="H36" s="18" t="n">
        <x:v>46</x:v>
      </x:c>
      <x:c r="I36" s="18" t="str">
        <x:f>IF(COUNTIFS('2020-2025时序'!$B$2:$B$439,$B36,'2020-2025时序'!$C$2:$C$439,2020,'2020-2025时序'!$D$2:$D$439,"&gt;0")=0,"",SUMIFS('2020-2025时序'!$D$2:$D$439,'2020-2025时序'!$B$2:$B$439,$B36,'2020-2025时序'!$C$2:$C$439,2020))</x:f>
      </x:c>
      <x:c r="J36" s="18" t="str">
        <x:f>IF(COUNTIFS('2020-2025时序'!$B$2:$B$439,$B36,'2020-2025时序'!$C$2:$C$439,2025,'2020-2025时序'!$D$2:$D$439,"&gt;0")=0,"",SUMIFS('2020-2025时序'!$D$2:$D$439,'2020-2025时序'!$B$2:$B$439,$B36,'2020-2025时序'!$C$2:$C$439,2025))</x:f>
      </x:c>
      <x:c r="K36" s="40" t="str">
        <x:f>IF(OR(I36="",J36=""),"",POWER(J36/I36,1/5)-1)</x:f>
      </x:c>
      <x:c r="L36" s="18" t="str">
        <x:f>IF(COUNTIFS('2020-2025时序'!$B$2:$B$439,$B36,'2020-2025时序'!$C$2:$C$439,2020,'2020-2025时序'!$E$2:$E$439,"&gt;0")=0,"",SUMIFS('2020-2025时序'!$E$2:$E$439,'2020-2025时序'!$B$2:$B$439,$B36,'2020-2025时序'!$C$2:$C$439,2020))</x:f>
      </x:c>
      <x:c r="M36" s="18" t="str">
        <x:f>IF(COUNTIFS('2020-2025时序'!$B$2:$B$439,$B36,'2020-2025时序'!$C$2:$C$439,2025,'2020-2025时序'!$E$2:$E$439,"&gt;0")=0,"",SUMIFS('2020-2025时序'!$E$2:$E$439,'2020-2025时序'!$B$2:$B$439,$B36,'2020-2025时序'!$C$2:$C$439,2025))</x:f>
      </x:c>
      <x:c r="N36" s="18" t="str">
        <x:f>IF(COUNTIFS('2020-2025时序'!$B$2:$B$439,$B36,'2020-2025时序'!$C$2:$C$439,2020,'2020-2025时序'!$F$2:$F$439,"&gt;0")=0,"",SUMIFS('2020-2025时序'!$F$2:$F$439,'2020-2025时序'!$B$2:$B$439,$B36,'2020-2025时序'!$C$2:$C$439,2020))</x:f>
      </x:c>
      <x:c r="O36" s="18" t="str">
        <x:f>IF(COUNTIFS('2020-2025时序'!$B$2:$B$439,$B36,'2020-2025时序'!$C$2:$C$439,2025,'2020-2025时序'!$F$2:$F$439,"&gt;0")=0,"",SUMIFS('2020-2025时序'!$F$2:$F$439,'2020-2025时序'!$B$2:$B$439,$B36,'2020-2025时序'!$C$2:$C$439,2025))</x:f>
      </x:c>
      <x:c r="P36" s="18" t="str">
        <x:f>IF(COUNTIFS('2020-2025时序'!$B$2:$B$439,$B36,'2020-2025时序'!$C$2:$C$439,2025,'2020-2025时序'!$G$2:$G$439,"&gt;0")=0,"",SUMIFS('2020-2025时序'!$G$2:$G$439,'2020-2025时序'!$B$2:$B$439,$B36,'2020-2025时序'!$C$2:$C$439,2025))</x:f>
      </x:c>
      <x:c r="Q36" s="18" t="str">
        <x:f>IF(COUNTIFS('2020-2025时序'!$B$2:$B$439,$B36,'2020-2025时序'!$C$2:$C$439,2025,'2020-2025时序'!$H$2:$H$439,"&gt;0")=0,"",SUMIFS('2020-2025时序'!$H$2:$H$439,'2020-2025时序'!$B$2:$B$439,$B36,'2020-2025时序'!$C$2:$C$439,2025))</x:f>
      </x:c>
      <x:c r="R36" s="18" t="str">
        <x:f>IF(COUNTIFS('2020-2025时序'!$B$2:$B$439,$B36,'2020-2025时序'!$C$2:$C$439,2025,'2020-2025时序'!$L$2:$L$439,"&gt;0")=0,"",SUMIFS('2020-2025时序'!$L$2:$L$439,'2020-2025时序'!$B$2:$B$439,$B36,'2020-2025时序'!$C$2:$C$439,2025))</x:f>
      </x:c>
      <x:c r="S36" s="18" t="str">
        <x:f>IF(COUNTIFS('2020-2025时序'!$B$2:$B$439,$B36,'2020-2025时序'!$C$2:$C$439,2025,'2020-2025时序'!$J$2:$J$439,"&gt;0")=0,"",SUMIFS('2020-2025时序'!$J$2:$J$439,'2020-2025时序'!$B$2:$B$439,$B36,'2020-2025时序'!$C$2:$C$439,2025))</x:f>
      </x:c>
      <x:c r="T36" s="41" t="str">
        <x:f>IF(OR(L36="",M36=""),"",IF(OR(N36="",O36=""),MIN(100,MAX(0,-(M36/L36-1)/0.10*100)),0.7*MIN(100,MAX(0,-(M36/L36-1)/0.10*100))+0.3*MIN(100,MAX(0,-(O36/N36-1)/0.50*100))))</x:f>
      </x:c>
      <x:c r="U36" s="41" t="str">
        <x:f>IF(OR(P36="",Q36="",Q36=0),"",MIN(100,MAX(0,100*(1-P36/Q36))))</x:f>
      </x:c>
      <x:c r="V36" s="41" t="str">
        <x:f>IFERROR(MIN(100,100*SUMIFS('2020-2025时序'!$O$2:$O$439,'2020-2025时序'!$B$2:$B$439,$B36,'2020-2025时序'!$C$2:$C$439,2025)/SUMIFS('2020-2025时序'!$J$2:$J$439,'2020-2025时序'!$B$2:$B$439,$B36,'2020-2025时序'!$C$2:$C$439,2025)),"")</x:f>
      </x:c>
      <x:c r="W36" s="41" t="str">
        <x:f>IF(OR(R36="",J36="",J36=0),"",MIN(100,100*R36/J36))</x:f>
      </x:c>
      <x:c r="X36" s="41" t="str">
        <x:f>IF(OR(K36="",T36="",U36="",W36=""),"",0.25*MIN(100,MAX(20,20+K36/0.08*80))+0.20*(100-T36)+0.20*(100-U36)+0.15*G36+0.10*(100-W36)+0.10*G36)</x:f>
      </x:c>
      <x:c r="Y36" s="41" t="n">
        <x:f>ROUND(100*COUNT(I36:S36)/11,0)</x:f>
        <x:v>0</x:v>
      </x:c>
      <x:c r="Z36" s="16" t="str">
        <x:f>IF(AND(J36&lt;&gt;"",K36&gt;0,M36&lt;&gt;"",L36&lt;&gt;"",M36&lt;L36),"表面增长/人口收缩",IF(AND(U36&lt;&gt;"",U36&gt;=80),"财政高度依赖",IF(E36="收缩风险","结构性收缩风险",IF(H36&gt;=75,"单一产业集中风险",""))))</x:f>
      </x:c>
      <x:c r="AA36" s="16" t="str">
        <x:f>"详见“2020-2025时序”逐年来源URL；产业与抓手为研究判断"</x:f>
        <x:v>详见“2020-2025时序”逐年来源URL；产业与抓手为研究判断</x:v>
      </x:c>
    </x:row>
    <x:row r="37">
      <x:c r="A37" s="16" t="str">
        <x:v>吉安市</x:v>
      </x:c>
      <x:c r="B37" s="16" t="str">
        <x:v>吉安县</x:v>
      </x:c>
      <x:c r="C37" s="16" t="str">
        <x:v>电子信息、先进制造</x:v>
      </x:c>
      <x:c r="D37" s="16" t="str">
        <x:v>A-/B+</x:v>
      </x:c>
      <x:c r="E37" s="16" t="str">
        <x:v>增长型</x:v>
      </x:c>
      <x:c r="F37" s="16" t="str">
        <x:v>吉泰走廊、电子产业链</x:v>
      </x:c>
      <x:c r="G37" s="18" t="n">
        <x:v>82</x:v>
      </x:c>
      <x:c r="H37" s="18" t="n">
        <x:v>56</x:v>
      </x:c>
      <x:c r="I37" s="18" t="str">
        <x:f>IF(COUNTIFS('2020-2025时序'!$B$2:$B$439,$B37,'2020-2025时序'!$C$2:$C$439,2020,'2020-2025时序'!$D$2:$D$439,"&gt;0")=0,"",SUMIFS('2020-2025时序'!$D$2:$D$439,'2020-2025时序'!$B$2:$B$439,$B37,'2020-2025时序'!$C$2:$C$439,2020))</x:f>
      </x:c>
      <x:c r="J37" s="18" t="str">
        <x:f>IF(COUNTIFS('2020-2025时序'!$B$2:$B$439,$B37,'2020-2025时序'!$C$2:$C$439,2025,'2020-2025时序'!$D$2:$D$439,"&gt;0")=0,"",SUMIFS('2020-2025时序'!$D$2:$D$439,'2020-2025时序'!$B$2:$B$439,$B37,'2020-2025时序'!$C$2:$C$439,2025))</x:f>
      </x:c>
      <x:c r="K37" s="40" t="str">
        <x:f>IF(OR(I37="",J37=""),"",POWER(J37/I37,1/5)-1)</x:f>
      </x:c>
      <x:c r="L37" s="18" t="str">
        <x:f>IF(COUNTIFS('2020-2025时序'!$B$2:$B$439,$B37,'2020-2025时序'!$C$2:$C$439,2020,'2020-2025时序'!$E$2:$E$439,"&gt;0")=0,"",SUMIFS('2020-2025时序'!$E$2:$E$439,'2020-2025时序'!$B$2:$B$439,$B37,'2020-2025时序'!$C$2:$C$439,2020))</x:f>
      </x:c>
      <x:c r="M37" s="18" t="str">
        <x:f>IF(COUNTIFS('2020-2025时序'!$B$2:$B$439,$B37,'2020-2025时序'!$C$2:$C$439,2025,'2020-2025时序'!$E$2:$E$439,"&gt;0")=0,"",SUMIFS('2020-2025时序'!$E$2:$E$439,'2020-2025时序'!$B$2:$B$439,$B37,'2020-2025时序'!$C$2:$C$439,2025))</x:f>
      </x:c>
      <x:c r="N37" s="18" t="str">
        <x:f>IF(COUNTIFS('2020-2025时序'!$B$2:$B$439,$B37,'2020-2025时序'!$C$2:$C$439,2020,'2020-2025时序'!$F$2:$F$439,"&gt;0")=0,"",SUMIFS('2020-2025时序'!$F$2:$F$439,'2020-2025时序'!$B$2:$B$439,$B37,'2020-2025时序'!$C$2:$C$439,2020))</x:f>
      </x:c>
      <x:c r="O37" s="18" t="str">
        <x:f>IF(COUNTIFS('2020-2025时序'!$B$2:$B$439,$B37,'2020-2025时序'!$C$2:$C$439,2025,'2020-2025时序'!$F$2:$F$439,"&gt;0")=0,"",SUMIFS('2020-2025时序'!$F$2:$F$439,'2020-2025时序'!$B$2:$B$439,$B37,'2020-2025时序'!$C$2:$C$439,2025))</x:f>
      </x:c>
      <x:c r="P37" s="18" t="str">
        <x:f>IF(COUNTIFS('2020-2025时序'!$B$2:$B$439,$B37,'2020-2025时序'!$C$2:$C$439,2025,'2020-2025时序'!$G$2:$G$439,"&gt;0")=0,"",SUMIFS('2020-2025时序'!$G$2:$G$439,'2020-2025时序'!$B$2:$B$439,$B37,'2020-2025时序'!$C$2:$C$439,2025))</x:f>
      </x:c>
      <x:c r="Q37" s="18" t="str">
        <x:f>IF(COUNTIFS('2020-2025时序'!$B$2:$B$439,$B37,'2020-2025时序'!$C$2:$C$439,2025,'2020-2025时序'!$H$2:$H$439,"&gt;0")=0,"",SUMIFS('2020-2025时序'!$H$2:$H$439,'2020-2025时序'!$B$2:$B$439,$B37,'2020-2025时序'!$C$2:$C$439,2025))</x:f>
      </x:c>
      <x:c r="R37" s="18" t="str">
        <x:f>IF(COUNTIFS('2020-2025时序'!$B$2:$B$439,$B37,'2020-2025时序'!$C$2:$C$439,2025,'2020-2025时序'!$L$2:$L$439,"&gt;0")=0,"",SUMIFS('2020-2025时序'!$L$2:$L$439,'2020-2025时序'!$B$2:$B$439,$B37,'2020-2025时序'!$C$2:$C$439,2025))</x:f>
      </x:c>
      <x:c r="S37" s="18" t="str">
        <x:f>IF(COUNTIFS('2020-2025时序'!$B$2:$B$439,$B37,'2020-2025时序'!$C$2:$C$439,2025,'2020-2025时序'!$J$2:$J$439,"&gt;0")=0,"",SUMIFS('2020-2025时序'!$J$2:$J$439,'2020-2025时序'!$B$2:$B$439,$B37,'2020-2025时序'!$C$2:$C$439,2025))</x:f>
      </x:c>
      <x:c r="T37" s="41" t="str">
        <x:f>IF(OR(L37="",M37=""),"",IF(OR(N37="",O37=""),MIN(100,MAX(0,-(M37/L37-1)/0.10*100)),0.7*MIN(100,MAX(0,-(M37/L37-1)/0.10*100))+0.3*MIN(100,MAX(0,-(O37/N37-1)/0.50*100))))</x:f>
      </x:c>
      <x:c r="U37" s="41" t="str">
        <x:f>IF(OR(P37="",Q37="",Q37=0),"",MIN(100,MAX(0,100*(1-P37/Q37))))</x:f>
      </x:c>
      <x:c r="V37" s="41" t="str">
        <x:f>IFERROR(MIN(100,100*SUMIFS('2020-2025时序'!$O$2:$O$439,'2020-2025时序'!$B$2:$B$439,$B37,'2020-2025时序'!$C$2:$C$439,2025)/SUMIFS('2020-2025时序'!$J$2:$J$439,'2020-2025时序'!$B$2:$B$439,$B37,'2020-2025时序'!$C$2:$C$439,2025)),"")</x:f>
      </x:c>
      <x:c r="W37" s="41" t="str">
        <x:f>IF(OR(R37="",J37="",J37=0),"",MIN(100,100*R37/J37))</x:f>
      </x:c>
      <x:c r="X37" s="41" t="str">
        <x:f>IF(OR(K37="",T37="",U37="",W37=""),"",0.25*MIN(100,MAX(20,20+K37/0.08*80))+0.20*(100-T37)+0.20*(100-U37)+0.15*G37+0.10*(100-W37)+0.10*G37)</x:f>
      </x:c>
      <x:c r="Y37" s="41" t="n">
        <x:f>ROUND(100*COUNT(I37:S37)/11,0)</x:f>
        <x:v>0</x:v>
      </x:c>
      <x:c r="Z37" s="16" t="str">
        <x:f>IF(AND(J37&lt;&gt;"",K37&gt;0,M37&lt;&gt;"",L37&lt;&gt;"",M37&lt;L37),"表面增长/人口收缩",IF(AND(U37&lt;&gt;"",U37&gt;=80),"财政高度依赖",IF(E37="收缩风险","结构性收缩风险",IF(H37&gt;=75,"单一产业集中风险",""))))</x:f>
      </x:c>
      <x:c r="AA37" s="16" t="str">
        <x:f>"详见“2020-2025时序”逐年来源URL；产业与抓手为研究判断"</x:f>
        <x:v>详见“2020-2025时序”逐年来源URL；产业与抓手为研究判断</x:v>
      </x:c>
    </x:row>
    <x:row r="38">
      <x:c r="A38" s="16" t="str">
        <x:v>吉安市</x:v>
      </x:c>
      <x:c r="B38" s="16" t="str">
        <x:v>吉水县</x:v>
      </x:c>
      <x:c r="C38" s="16" t="str">
        <x:v>电子信息、食品、新材料</x:v>
      </x:c>
      <x:c r="D38" s="16" t="str">
        <x:v>B+</x:v>
      </x:c>
      <x:c r="E38" s="16" t="str">
        <x:v>转型增长型</x:v>
      </x:c>
      <x:c r="F38" s="16" t="str">
        <x:v>吉安电子集群配套</x:v>
      </x:c>
      <x:c r="G38" s="18" t="n">
        <x:v>77</x:v>
      </x:c>
      <x:c r="H38" s="18" t="n">
        <x:v>56</x:v>
      </x:c>
      <x:c r="I38" s="18" t="str">
        <x:f>IF(COUNTIFS('2020-2025时序'!$B$2:$B$439,$B38,'2020-2025时序'!$C$2:$C$439,2020,'2020-2025时序'!$D$2:$D$439,"&gt;0")=0,"",SUMIFS('2020-2025时序'!$D$2:$D$439,'2020-2025时序'!$B$2:$B$439,$B38,'2020-2025时序'!$C$2:$C$439,2020))</x:f>
      </x:c>
      <x:c r="J38" s="18" t="str">
        <x:f>IF(COUNTIFS('2020-2025时序'!$B$2:$B$439,$B38,'2020-2025时序'!$C$2:$C$439,2025,'2020-2025时序'!$D$2:$D$439,"&gt;0")=0,"",SUMIFS('2020-2025时序'!$D$2:$D$439,'2020-2025时序'!$B$2:$B$439,$B38,'2020-2025时序'!$C$2:$C$439,2025))</x:f>
      </x:c>
      <x:c r="K38" s="40" t="str">
        <x:f>IF(OR(I38="",J38=""),"",POWER(J38/I38,1/5)-1)</x:f>
      </x:c>
      <x:c r="L38" s="18" t="str">
        <x:f>IF(COUNTIFS('2020-2025时序'!$B$2:$B$439,$B38,'2020-2025时序'!$C$2:$C$439,2020,'2020-2025时序'!$E$2:$E$439,"&gt;0")=0,"",SUMIFS('2020-2025时序'!$E$2:$E$439,'2020-2025时序'!$B$2:$B$439,$B38,'2020-2025时序'!$C$2:$C$439,2020))</x:f>
      </x:c>
      <x:c r="M38" s="18" t="str">
        <x:f>IF(COUNTIFS('2020-2025时序'!$B$2:$B$439,$B38,'2020-2025时序'!$C$2:$C$439,2025,'2020-2025时序'!$E$2:$E$439,"&gt;0")=0,"",SUMIFS('2020-2025时序'!$E$2:$E$439,'2020-2025时序'!$B$2:$B$439,$B38,'2020-2025时序'!$C$2:$C$439,2025))</x:f>
      </x:c>
      <x:c r="N38" s="18" t="str">
        <x:f>IF(COUNTIFS('2020-2025时序'!$B$2:$B$439,$B38,'2020-2025时序'!$C$2:$C$439,2020,'2020-2025时序'!$F$2:$F$439,"&gt;0")=0,"",SUMIFS('2020-2025时序'!$F$2:$F$439,'2020-2025时序'!$B$2:$B$439,$B38,'2020-2025时序'!$C$2:$C$439,2020))</x:f>
      </x:c>
      <x:c r="O38" s="18" t="str">
        <x:f>IF(COUNTIFS('2020-2025时序'!$B$2:$B$439,$B38,'2020-2025时序'!$C$2:$C$439,2025,'2020-2025时序'!$F$2:$F$439,"&gt;0")=0,"",SUMIFS('2020-2025时序'!$F$2:$F$439,'2020-2025时序'!$B$2:$B$439,$B38,'2020-2025时序'!$C$2:$C$439,2025))</x:f>
      </x:c>
      <x:c r="P38" s="18" t="str">
        <x:f>IF(COUNTIFS('2020-2025时序'!$B$2:$B$439,$B38,'2020-2025时序'!$C$2:$C$439,2025,'2020-2025时序'!$G$2:$G$439,"&gt;0")=0,"",SUMIFS('2020-2025时序'!$G$2:$G$439,'2020-2025时序'!$B$2:$B$439,$B38,'2020-2025时序'!$C$2:$C$439,2025))</x:f>
      </x:c>
      <x:c r="Q38" s="18" t="str">
        <x:f>IF(COUNTIFS('2020-2025时序'!$B$2:$B$439,$B38,'2020-2025时序'!$C$2:$C$439,2025,'2020-2025时序'!$H$2:$H$439,"&gt;0")=0,"",SUMIFS('2020-2025时序'!$H$2:$H$439,'2020-2025时序'!$B$2:$B$439,$B38,'2020-2025时序'!$C$2:$C$439,2025))</x:f>
      </x:c>
      <x:c r="R38" s="18" t="str">
        <x:f>IF(COUNTIFS('2020-2025时序'!$B$2:$B$439,$B38,'2020-2025时序'!$C$2:$C$439,2025,'2020-2025时序'!$L$2:$L$439,"&gt;0")=0,"",SUMIFS('2020-2025时序'!$L$2:$L$439,'2020-2025时序'!$B$2:$B$439,$B38,'2020-2025时序'!$C$2:$C$439,2025))</x:f>
      </x:c>
      <x:c r="S38" s="18" t="str">
        <x:f>IF(COUNTIFS('2020-2025时序'!$B$2:$B$439,$B38,'2020-2025时序'!$C$2:$C$439,2025,'2020-2025时序'!$J$2:$J$439,"&gt;0")=0,"",SUMIFS('2020-2025时序'!$J$2:$J$439,'2020-2025时序'!$B$2:$B$439,$B38,'2020-2025时序'!$C$2:$C$439,2025))</x:f>
      </x:c>
      <x:c r="T38" s="41" t="str">
        <x:f>IF(OR(L38="",M38=""),"",IF(OR(N38="",O38=""),MIN(100,MAX(0,-(M38/L38-1)/0.10*100)),0.7*MIN(100,MAX(0,-(M38/L38-1)/0.10*100))+0.3*MIN(100,MAX(0,-(O38/N38-1)/0.50*100))))</x:f>
      </x:c>
      <x:c r="U38" s="41" t="str">
        <x:f>IF(OR(P38="",Q38="",Q38=0),"",MIN(100,MAX(0,100*(1-P38/Q38))))</x:f>
      </x:c>
      <x:c r="V38" s="41" t="str">
        <x:f>IFERROR(MIN(100,100*SUMIFS('2020-2025时序'!$O$2:$O$439,'2020-2025时序'!$B$2:$B$439,$B38,'2020-2025时序'!$C$2:$C$439,2025)/SUMIFS('2020-2025时序'!$J$2:$J$439,'2020-2025时序'!$B$2:$B$439,$B38,'2020-2025时序'!$C$2:$C$439,2025)),"")</x:f>
      </x:c>
      <x:c r="W38" s="41" t="str">
        <x:f>IF(OR(R38="",J38="",J38=0),"",MIN(100,100*R38/J38))</x:f>
      </x:c>
      <x:c r="X38" s="41" t="str">
        <x:f>IF(OR(K38="",T38="",U38="",W38=""),"",0.25*MIN(100,MAX(20,20+K38/0.08*80))+0.20*(100-T38)+0.20*(100-U38)+0.15*G38+0.10*(100-W38)+0.10*G38)</x:f>
      </x:c>
      <x:c r="Y38" s="41" t="n">
        <x:f>ROUND(100*COUNT(I38:S38)/11,0)</x:f>
        <x:v>0</x:v>
      </x:c>
      <x:c r="Z38" s="16" t="str">
        <x:f>IF(AND(J38&lt;&gt;"",K38&gt;0,M38&lt;&gt;"",L38&lt;&gt;"",M38&lt;L38),"表面增长/人口收缩",IF(AND(U38&lt;&gt;"",U38&gt;=80),"财政高度依赖",IF(E38="收缩风险","结构性收缩风险",IF(H38&gt;=75,"单一产业集中风险",""))))</x:f>
      </x:c>
      <x:c r="AA38" s="16" t="str">
        <x:f>"详见“2020-2025时序”逐年来源URL；产业与抓手为研究判断"</x:f>
        <x:v>详见“2020-2025时序”逐年来源URL；产业与抓手为研究判断</x:v>
      </x:c>
    </x:row>
    <x:row r="39">
      <x:c r="A39" s="16" t="str">
        <x:v>吉安市</x:v>
      </x:c>
      <x:c r="B39" s="16" t="str">
        <x:v>峡江县</x:v>
      </x:c>
      <x:c r="C39" s="16" t="str">
        <x:v>医药、医疗器械、食品</x:v>
      </x:c>
      <x:c r="D39" s="16" t="str">
        <x:v>B</x:v>
      </x:c>
      <x:c r="E39" s="16" t="str">
        <x:v>转型型</x:v>
      </x:c>
      <x:c r="F39" s="16" t="str">
        <x:v>医药健康产业</x:v>
      </x:c>
      <x:c r="G39" s="18" t="n">
        <x:v>68</x:v>
      </x:c>
      <x:c r="H39" s="18" t="n">
        <x:v>56</x:v>
      </x:c>
      <x:c r="I39" s="18" t="str">
        <x:f>IF(COUNTIFS('2020-2025时序'!$B$2:$B$439,$B39,'2020-2025时序'!$C$2:$C$439,2020,'2020-2025时序'!$D$2:$D$439,"&gt;0")=0,"",SUMIFS('2020-2025时序'!$D$2:$D$439,'2020-2025时序'!$B$2:$B$439,$B39,'2020-2025时序'!$C$2:$C$439,2020))</x:f>
      </x:c>
      <x:c r="J39" s="18" t="str">
        <x:f>IF(COUNTIFS('2020-2025时序'!$B$2:$B$439,$B39,'2020-2025时序'!$C$2:$C$439,2025,'2020-2025时序'!$D$2:$D$439,"&gt;0")=0,"",SUMIFS('2020-2025时序'!$D$2:$D$439,'2020-2025时序'!$B$2:$B$439,$B39,'2020-2025时序'!$C$2:$C$439,2025))</x:f>
      </x:c>
      <x:c r="K39" s="40" t="str">
        <x:f>IF(OR(I39="",J39=""),"",POWER(J39/I39,1/5)-1)</x:f>
      </x:c>
      <x:c r="L39" s="18" t="str">
        <x:f>IF(COUNTIFS('2020-2025时序'!$B$2:$B$439,$B39,'2020-2025时序'!$C$2:$C$439,2020,'2020-2025时序'!$E$2:$E$439,"&gt;0")=0,"",SUMIFS('2020-2025时序'!$E$2:$E$439,'2020-2025时序'!$B$2:$B$439,$B39,'2020-2025时序'!$C$2:$C$439,2020))</x:f>
      </x:c>
      <x:c r="M39" s="18" t="str">
        <x:f>IF(COUNTIFS('2020-2025时序'!$B$2:$B$439,$B39,'2020-2025时序'!$C$2:$C$439,2025,'2020-2025时序'!$E$2:$E$439,"&gt;0")=0,"",SUMIFS('2020-2025时序'!$E$2:$E$439,'2020-2025时序'!$B$2:$B$439,$B39,'2020-2025时序'!$C$2:$C$439,2025))</x:f>
      </x:c>
      <x:c r="N39" s="18" t="str">
        <x:f>IF(COUNTIFS('2020-2025时序'!$B$2:$B$439,$B39,'2020-2025时序'!$C$2:$C$439,2020,'2020-2025时序'!$F$2:$F$439,"&gt;0")=0,"",SUMIFS('2020-2025时序'!$F$2:$F$439,'2020-2025时序'!$B$2:$B$439,$B39,'2020-2025时序'!$C$2:$C$439,2020))</x:f>
      </x:c>
      <x:c r="O39" s="18" t="str">
        <x:f>IF(COUNTIFS('2020-2025时序'!$B$2:$B$439,$B39,'2020-2025时序'!$C$2:$C$439,2025,'2020-2025时序'!$F$2:$F$439,"&gt;0")=0,"",SUMIFS('2020-2025时序'!$F$2:$F$439,'2020-2025时序'!$B$2:$B$439,$B39,'2020-2025时序'!$C$2:$C$439,2025))</x:f>
      </x:c>
      <x:c r="P39" s="18" t="str">
        <x:f>IF(COUNTIFS('2020-2025时序'!$B$2:$B$439,$B39,'2020-2025时序'!$C$2:$C$439,2025,'2020-2025时序'!$G$2:$G$439,"&gt;0")=0,"",SUMIFS('2020-2025时序'!$G$2:$G$439,'2020-2025时序'!$B$2:$B$439,$B39,'2020-2025时序'!$C$2:$C$439,2025))</x:f>
      </x:c>
      <x:c r="Q39" s="18" t="str">
        <x:f>IF(COUNTIFS('2020-2025时序'!$B$2:$B$439,$B39,'2020-2025时序'!$C$2:$C$439,2025,'2020-2025时序'!$H$2:$H$439,"&gt;0")=0,"",SUMIFS('2020-2025时序'!$H$2:$H$439,'2020-2025时序'!$B$2:$B$439,$B39,'2020-2025时序'!$C$2:$C$439,2025))</x:f>
      </x:c>
      <x:c r="R39" s="18" t="str">
        <x:f>IF(COUNTIFS('2020-2025时序'!$B$2:$B$439,$B39,'2020-2025时序'!$C$2:$C$439,2025,'2020-2025时序'!$L$2:$L$439,"&gt;0")=0,"",SUMIFS('2020-2025时序'!$L$2:$L$439,'2020-2025时序'!$B$2:$B$439,$B39,'2020-2025时序'!$C$2:$C$439,2025))</x:f>
      </x:c>
      <x:c r="S39" s="18" t="str">
        <x:f>IF(COUNTIFS('2020-2025时序'!$B$2:$B$439,$B39,'2020-2025时序'!$C$2:$C$439,2025,'2020-2025时序'!$J$2:$J$439,"&gt;0")=0,"",SUMIFS('2020-2025时序'!$J$2:$J$439,'2020-2025时序'!$B$2:$B$439,$B39,'2020-2025时序'!$C$2:$C$439,2025))</x:f>
      </x:c>
      <x:c r="T39" s="41" t="str">
        <x:f>IF(OR(L39="",M39=""),"",IF(OR(N39="",O39=""),MIN(100,MAX(0,-(M39/L39-1)/0.10*100)),0.7*MIN(100,MAX(0,-(M39/L39-1)/0.10*100))+0.3*MIN(100,MAX(0,-(O39/N39-1)/0.50*100))))</x:f>
      </x:c>
      <x:c r="U39" s="41" t="str">
        <x:f>IF(OR(P39="",Q39="",Q39=0),"",MIN(100,MAX(0,100*(1-P39/Q39))))</x:f>
      </x:c>
      <x:c r="V39" s="41" t="str">
        <x:f>IFERROR(MIN(100,100*SUMIFS('2020-2025时序'!$O$2:$O$439,'2020-2025时序'!$B$2:$B$439,$B39,'2020-2025时序'!$C$2:$C$439,2025)/SUMIFS('2020-2025时序'!$J$2:$J$439,'2020-2025时序'!$B$2:$B$439,$B39,'2020-2025时序'!$C$2:$C$439,2025)),"")</x:f>
      </x:c>
      <x:c r="W39" s="41" t="str">
        <x:f>IF(OR(R39="",J39="",J39=0),"",MIN(100,100*R39/J39))</x:f>
      </x:c>
      <x:c r="X39" s="41" t="str">
        <x:f>IF(OR(K39="",T39="",U39="",W39=""),"",0.25*MIN(100,MAX(20,20+K39/0.08*80))+0.20*(100-T39)+0.20*(100-U39)+0.15*G39+0.10*(100-W39)+0.10*G39)</x:f>
      </x:c>
      <x:c r="Y39" s="41" t="n">
        <x:f>ROUND(100*COUNT(I39:S39)/11,0)</x:f>
        <x:v>0</x:v>
      </x:c>
      <x:c r="Z39" s="16" t="str">
        <x:f>IF(AND(J39&lt;&gt;"",K39&gt;0,M39&lt;&gt;"",L39&lt;&gt;"",M39&lt;L39),"表面增长/人口收缩",IF(AND(U39&lt;&gt;"",U39&gt;=80),"财政高度依赖",IF(E39="收缩风险","结构性收缩风险",IF(H39&gt;=75,"单一产业集中风险",""))))</x:f>
      </x:c>
      <x:c r="AA39" s="16" t="str">
        <x:f>"详见“2020-2025时序”逐年来源URL；产业与抓手为研究判断"</x:f>
        <x:v>详见“2020-2025时序”逐年来源URL；产业与抓手为研究判断</x:v>
      </x:c>
    </x:row>
    <x:row r="40">
      <x:c r="A40" s="16" t="str">
        <x:v>吉安市</x:v>
      </x:c>
      <x:c r="B40" s="16" t="str">
        <x:v>新干县</x:v>
      </x:c>
      <x:c r="C40" s="16" t="str">
        <x:v>箱包皮具、食品、新材料</x:v>
      </x:c>
      <x:c r="D40" s="16" t="str">
        <x:v>B</x:v>
      </x:c>
      <x:c r="E40" s="16" t="str">
        <x:v>转型型</x:v>
      </x:c>
      <x:c r="F40" s="16" t="str">
        <x:v>品牌化、跨境电商</x:v>
      </x:c>
      <x:c r="G40" s="18" t="n">
        <x:v>68</x:v>
      </x:c>
      <x:c r="H40" s="18" t="n">
        <x:v>56</x:v>
      </x:c>
      <x:c r="I40" s="18" t="str">
        <x:f>IF(COUNTIFS('2020-2025时序'!$B$2:$B$439,$B40,'2020-2025时序'!$C$2:$C$439,2020,'2020-2025时序'!$D$2:$D$439,"&gt;0")=0,"",SUMIFS('2020-2025时序'!$D$2:$D$439,'2020-2025时序'!$B$2:$B$439,$B40,'2020-2025时序'!$C$2:$C$439,2020))</x:f>
      </x:c>
      <x:c r="J40" s="18" t="str">
        <x:f>IF(COUNTIFS('2020-2025时序'!$B$2:$B$439,$B40,'2020-2025时序'!$C$2:$C$439,2025,'2020-2025时序'!$D$2:$D$439,"&gt;0")=0,"",SUMIFS('2020-2025时序'!$D$2:$D$439,'2020-2025时序'!$B$2:$B$439,$B40,'2020-2025时序'!$C$2:$C$439,2025))</x:f>
      </x:c>
      <x:c r="K40" s="40" t="str">
        <x:f>IF(OR(I40="",J40=""),"",POWER(J40/I40,1/5)-1)</x:f>
      </x:c>
      <x:c r="L40" s="18" t="str">
        <x:f>IF(COUNTIFS('2020-2025时序'!$B$2:$B$439,$B40,'2020-2025时序'!$C$2:$C$439,2020,'2020-2025时序'!$E$2:$E$439,"&gt;0")=0,"",SUMIFS('2020-2025时序'!$E$2:$E$439,'2020-2025时序'!$B$2:$B$439,$B40,'2020-2025时序'!$C$2:$C$439,2020))</x:f>
      </x:c>
      <x:c r="M40" s="18" t="str">
        <x:f>IF(COUNTIFS('2020-2025时序'!$B$2:$B$439,$B40,'2020-2025时序'!$C$2:$C$439,2025,'2020-2025时序'!$E$2:$E$439,"&gt;0")=0,"",SUMIFS('2020-2025时序'!$E$2:$E$439,'2020-2025时序'!$B$2:$B$439,$B40,'2020-2025时序'!$C$2:$C$439,2025))</x:f>
      </x:c>
      <x:c r="N40" s="18" t="str">
        <x:f>IF(COUNTIFS('2020-2025时序'!$B$2:$B$439,$B40,'2020-2025时序'!$C$2:$C$439,2020,'2020-2025时序'!$F$2:$F$439,"&gt;0")=0,"",SUMIFS('2020-2025时序'!$F$2:$F$439,'2020-2025时序'!$B$2:$B$439,$B40,'2020-2025时序'!$C$2:$C$439,2020))</x:f>
      </x:c>
      <x:c r="O40" s="18" t="str">
        <x:f>IF(COUNTIFS('2020-2025时序'!$B$2:$B$439,$B40,'2020-2025时序'!$C$2:$C$439,2025,'2020-2025时序'!$F$2:$F$439,"&gt;0")=0,"",SUMIFS('2020-2025时序'!$F$2:$F$439,'2020-2025时序'!$B$2:$B$439,$B40,'2020-2025时序'!$C$2:$C$439,2025))</x:f>
      </x:c>
      <x:c r="P40" s="18" t="str">
        <x:f>IF(COUNTIFS('2020-2025时序'!$B$2:$B$439,$B40,'2020-2025时序'!$C$2:$C$439,2025,'2020-2025时序'!$G$2:$G$439,"&gt;0")=0,"",SUMIFS('2020-2025时序'!$G$2:$G$439,'2020-2025时序'!$B$2:$B$439,$B40,'2020-2025时序'!$C$2:$C$439,2025))</x:f>
      </x:c>
      <x:c r="Q40" s="18" t="str">
        <x:f>IF(COUNTIFS('2020-2025时序'!$B$2:$B$439,$B40,'2020-2025时序'!$C$2:$C$439,2025,'2020-2025时序'!$H$2:$H$439,"&gt;0")=0,"",SUMIFS('2020-2025时序'!$H$2:$H$439,'2020-2025时序'!$B$2:$B$439,$B40,'2020-2025时序'!$C$2:$C$439,2025))</x:f>
      </x:c>
      <x:c r="R40" s="18" t="str">
        <x:f>IF(COUNTIFS('2020-2025时序'!$B$2:$B$439,$B40,'2020-2025时序'!$C$2:$C$439,2025,'2020-2025时序'!$L$2:$L$439,"&gt;0")=0,"",SUMIFS('2020-2025时序'!$L$2:$L$439,'2020-2025时序'!$B$2:$B$439,$B40,'2020-2025时序'!$C$2:$C$439,2025))</x:f>
      </x:c>
      <x:c r="S40" s="18" t="str">
        <x:f>IF(COUNTIFS('2020-2025时序'!$B$2:$B$439,$B40,'2020-2025时序'!$C$2:$C$439,2025,'2020-2025时序'!$J$2:$J$439,"&gt;0")=0,"",SUMIFS('2020-2025时序'!$J$2:$J$439,'2020-2025时序'!$B$2:$B$439,$B40,'2020-2025时序'!$C$2:$C$439,2025))</x:f>
      </x:c>
      <x:c r="T40" s="41" t="str">
        <x:f>IF(OR(L40="",M40=""),"",IF(OR(N40="",O40=""),MIN(100,MAX(0,-(M40/L40-1)/0.10*100)),0.7*MIN(100,MAX(0,-(M40/L40-1)/0.10*100))+0.3*MIN(100,MAX(0,-(O40/N40-1)/0.50*100))))</x:f>
      </x:c>
      <x:c r="U40" s="41" t="str">
        <x:f>IF(OR(P40="",Q40="",Q40=0),"",MIN(100,MAX(0,100*(1-P40/Q40))))</x:f>
      </x:c>
      <x:c r="V40" s="41" t="str">
        <x:f>IFERROR(MIN(100,100*SUMIFS('2020-2025时序'!$O$2:$O$439,'2020-2025时序'!$B$2:$B$439,$B40,'2020-2025时序'!$C$2:$C$439,2025)/SUMIFS('2020-2025时序'!$J$2:$J$439,'2020-2025时序'!$B$2:$B$439,$B40,'2020-2025时序'!$C$2:$C$439,2025)),"")</x:f>
      </x:c>
      <x:c r="W40" s="41" t="str">
        <x:f>IF(OR(R40="",J40="",J40=0),"",MIN(100,100*R40/J40))</x:f>
      </x:c>
      <x:c r="X40" s="41" t="str">
        <x:f>IF(OR(K40="",T40="",U40="",W40=""),"",0.25*MIN(100,MAX(20,20+K40/0.08*80))+0.20*(100-T40)+0.20*(100-U40)+0.15*G40+0.10*(100-W40)+0.10*G40)</x:f>
      </x:c>
      <x:c r="Y40" s="41" t="n">
        <x:f>ROUND(100*COUNT(I40:S40)/11,0)</x:f>
        <x:v>0</x:v>
      </x:c>
      <x:c r="Z40" s="16" t="str">
        <x:f>IF(AND(J40&lt;&gt;"",K40&gt;0,M40&lt;&gt;"",L40&lt;&gt;"",M40&lt;L40),"表面增长/人口收缩",IF(AND(U40&lt;&gt;"",U40&gt;=80),"财政高度依赖",IF(E40="收缩风险","结构性收缩风险",IF(H40&gt;=75,"单一产业集中风险",""))))</x:f>
      </x:c>
      <x:c r="AA40" s="16" t="str">
        <x:f>"详见“2020-2025时序”逐年来源URL；产业与抓手为研究判断"</x:f>
        <x:v>详见“2020-2025时序”逐年来源URL；产业与抓手为研究判断</x:v>
      </x:c>
    </x:row>
    <x:row r="41">
      <x:c r="A41" s="16" t="str">
        <x:v>吉安市</x:v>
      </x:c>
      <x:c r="B41" s="16" t="str">
        <x:v>永丰县</x:v>
      </x:c>
      <x:c r="C41" s="16" t="str">
        <x:v>新材料、矿产加工、生物医药</x:v>
      </x:c>
      <x:c r="D41" s="16" t="str">
        <x:v>B+</x:v>
      </x:c>
      <x:c r="E41" s="16" t="str">
        <x:v>转型增长型</x:v>
      </x:c>
      <x:c r="F41" s="16" t="str">
        <x:v>矿产精深加工、生物医药</x:v>
      </x:c>
      <x:c r="G41" s="18" t="n">
        <x:v>77</x:v>
      </x:c>
      <x:c r="H41" s="18" t="n">
        <x:v>56</x:v>
      </x:c>
      <x:c r="I41" s="18" t="str">
        <x:f>IF(COUNTIFS('2020-2025时序'!$B$2:$B$439,$B41,'2020-2025时序'!$C$2:$C$439,2020,'2020-2025时序'!$D$2:$D$439,"&gt;0")=0,"",SUMIFS('2020-2025时序'!$D$2:$D$439,'2020-2025时序'!$B$2:$B$439,$B41,'2020-2025时序'!$C$2:$C$439,2020))</x:f>
      </x:c>
      <x:c r="J41" s="18" t="str">
        <x:f>IF(COUNTIFS('2020-2025时序'!$B$2:$B$439,$B41,'2020-2025时序'!$C$2:$C$439,2025,'2020-2025时序'!$D$2:$D$439,"&gt;0")=0,"",SUMIFS('2020-2025时序'!$D$2:$D$439,'2020-2025时序'!$B$2:$B$439,$B41,'2020-2025时序'!$C$2:$C$439,2025))</x:f>
      </x:c>
      <x:c r="K41" s="40" t="str">
        <x:f>IF(OR(I41="",J41=""),"",POWER(J41/I41,1/5)-1)</x:f>
      </x:c>
      <x:c r="L41" s="18" t="str">
        <x:f>IF(COUNTIFS('2020-2025时序'!$B$2:$B$439,$B41,'2020-2025时序'!$C$2:$C$439,2020,'2020-2025时序'!$E$2:$E$439,"&gt;0")=0,"",SUMIFS('2020-2025时序'!$E$2:$E$439,'2020-2025时序'!$B$2:$B$439,$B41,'2020-2025时序'!$C$2:$C$439,2020))</x:f>
      </x:c>
      <x:c r="M41" s="18" t="str">
        <x:f>IF(COUNTIFS('2020-2025时序'!$B$2:$B$439,$B41,'2020-2025时序'!$C$2:$C$439,2025,'2020-2025时序'!$E$2:$E$439,"&gt;0")=0,"",SUMIFS('2020-2025时序'!$E$2:$E$439,'2020-2025时序'!$B$2:$B$439,$B41,'2020-2025时序'!$C$2:$C$439,2025))</x:f>
      </x:c>
      <x:c r="N41" s="18" t="str">
        <x:f>IF(COUNTIFS('2020-2025时序'!$B$2:$B$439,$B41,'2020-2025时序'!$C$2:$C$439,2020,'2020-2025时序'!$F$2:$F$439,"&gt;0")=0,"",SUMIFS('2020-2025时序'!$F$2:$F$439,'2020-2025时序'!$B$2:$B$439,$B41,'2020-2025时序'!$C$2:$C$439,2020))</x:f>
      </x:c>
      <x:c r="O41" s="18" t="str">
        <x:f>IF(COUNTIFS('2020-2025时序'!$B$2:$B$439,$B41,'2020-2025时序'!$C$2:$C$439,2025,'2020-2025时序'!$F$2:$F$439,"&gt;0")=0,"",SUMIFS('2020-2025时序'!$F$2:$F$439,'2020-2025时序'!$B$2:$B$439,$B41,'2020-2025时序'!$C$2:$C$439,2025))</x:f>
      </x:c>
      <x:c r="P41" s="18" t="str">
        <x:f>IF(COUNTIFS('2020-2025时序'!$B$2:$B$439,$B41,'2020-2025时序'!$C$2:$C$439,2025,'2020-2025时序'!$G$2:$G$439,"&gt;0")=0,"",SUMIFS('2020-2025时序'!$G$2:$G$439,'2020-2025时序'!$B$2:$B$439,$B41,'2020-2025时序'!$C$2:$C$439,2025))</x:f>
      </x:c>
      <x:c r="Q41" s="18" t="str">
        <x:f>IF(COUNTIFS('2020-2025时序'!$B$2:$B$439,$B41,'2020-2025时序'!$C$2:$C$439,2025,'2020-2025时序'!$H$2:$H$439,"&gt;0")=0,"",SUMIFS('2020-2025时序'!$H$2:$H$439,'2020-2025时序'!$B$2:$B$439,$B41,'2020-2025时序'!$C$2:$C$439,2025))</x:f>
      </x:c>
      <x:c r="R41" s="18" t="str">
        <x:f>IF(COUNTIFS('2020-2025时序'!$B$2:$B$439,$B41,'2020-2025时序'!$C$2:$C$439,2025,'2020-2025时序'!$L$2:$L$439,"&gt;0")=0,"",SUMIFS('2020-2025时序'!$L$2:$L$439,'2020-2025时序'!$B$2:$B$439,$B41,'2020-2025时序'!$C$2:$C$439,2025))</x:f>
      </x:c>
      <x:c r="S41" s="18" t="str">
        <x:f>IF(COUNTIFS('2020-2025时序'!$B$2:$B$439,$B41,'2020-2025时序'!$C$2:$C$439,2025,'2020-2025时序'!$J$2:$J$439,"&gt;0")=0,"",SUMIFS('2020-2025时序'!$J$2:$J$439,'2020-2025时序'!$B$2:$B$439,$B41,'2020-2025时序'!$C$2:$C$439,2025))</x:f>
      </x:c>
      <x:c r="T41" s="41" t="str">
        <x:f>IF(OR(L41="",M41=""),"",IF(OR(N41="",O41=""),MIN(100,MAX(0,-(M41/L41-1)/0.10*100)),0.7*MIN(100,MAX(0,-(M41/L41-1)/0.10*100))+0.3*MIN(100,MAX(0,-(O41/N41-1)/0.50*100))))</x:f>
      </x:c>
      <x:c r="U41" s="41" t="str">
        <x:f>IF(OR(P41="",Q41="",Q41=0),"",MIN(100,MAX(0,100*(1-P41/Q41))))</x:f>
      </x:c>
      <x:c r="V41" s="41" t="str">
        <x:f>IFERROR(MIN(100,100*SUMIFS('2020-2025时序'!$O$2:$O$439,'2020-2025时序'!$B$2:$B$439,$B41,'2020-2025时序'!$C$2:$C$439,2025)/SUMIFS('2020-2025时序'!$J$2:$J$439,'2020-2025时序'!$B$2:$B$439,$B41,'2020-2025时序'!$C$2:$C$439,2025)),"")</x:f>
      </x:c>
      <x:c r="W41" s="41" t="str">
        <x:f>IF(OR(R41="",J41="",J41=0),"",MIN(100,100*R41/J41))</x:f>
      </x:c>
      <x:c r="X41" s="41" t="str">
        <x:f>IF(OR(K41="",T41="",U41="",W41=""),"",0.25*MIN(100,MAX(20,20+K41/0.08*80))+0.20*(100-T41)+0.20*(100-U41)+0.15*G41+0.10*(100-W41)+0.10*G41)</x:f>
      </x:c>
      <x:c r="Y41" s="41" t="n">
        <x:f>ROUND(100*COUNT(I41:S41)/11,0)</x:f>
        <x:v>0</x:v>
      </x:c>
      <x:c r="Z41" s="16" t="str">
        <x:f>IF(AND(J41&lt;&gt;"",K41&gt;0,M41&lt;&gt;"",L41&lt;&gt;"",M41&lt;L41),"表面增长/人口收缩",IF(AND(U41&lt;&gt;"",U41&gt;=80),"财政高度依赖",IF(E41="收缩风险","结构性收缩风险",IF(H41&gt;=75,"单一产业集中风险",""))))</x:f>
      </x:c>
      <x:c r="AA41" s="16" t="str">
        <x:f>"详见“2020-2025时序”逐年来源URL；产业与抓手为研究判断"</x:f>
        <x:v>详见“2020-2025时序”逐年来源URL；产业与抓手为研究判断</x:v>
      </x:c>
    </x:row>
    <x:row r="42">
      <x:c r="A42" s="16" t="str">
        <x:v>吉安市</x:v>
      </x:c>
      <x:c r="B42" s="16" t="str">
        <x:v>泰和县</x:v>
      </x:c>
      <x:c r="C42" s="16" t="str">
        <x:v>电子信息、装备、农业食品</x:v>
      </x:c>
      <x:c r="D42" s="16" t="str">
        <x:v>B+</x:v>
      </x:c>
      <x:c r="E42" s="16" t="str">
        <x:v>转型增长型</x:v>
      </x:c>
      <x:c r="F42" s="16" t="str">
        <x:v>吉泰电子制造走廊</x:v>
      </x:c>
      <x:c r="G42" s="18" t="n">
        <x:v>77</x:v>
      </x:c>
      <x:c r="H42" s="18" t="n">
        <x:v>56</x:v>
      </x:c>
      <x:c r="I42" s="18" t="str">
        <x:f>IF(COUNTIFS('2020-2025时序'!$B$2:$B$439,$B42,'2020-2025时序'!$C$2:$C$439,2020,'2020-2025时序'!$D$2:$D$439,"&gt;0")=0,"",SUMIFS('2020-2025时序'!$D$2:$D$439,'2020-2025时序'!$B$2:$B$439,$B42,'2020-2025时序'!$C$2:$C$439,2020))</x:f>
      </x:c>
      <x:c r="J42" s="18" t="str">
        <x:f>IF(COUNTIFS('2020-2025时序'!$B$2:$B$439,$B42,'2020-2025时序'!$C$2:$C$439,2025,'2020-2025时序'!$D$2:$D$439,"&gt;0")=0,"",SUMIFS('2020-2025时序'!$D$2:$D$439,'2020-2025时序'!$B$2:$B$439,$B42,'2020-2025时序'!$C$2:$C$439,2025))</x:f>
      </x:c>
      <x:c r="K42" s="40" t="str">
        <x:f>IF(OR(I42="",J42=""),"",POWER(J42/I42,1/5)-1)</x:f>
      </x:c>
      <x:c r="L42" s="18" t="str">
        <x:f>IF(COUNTIFS('2020-2025时序'!$B$2:$B$439,$B42,'2020-2025时序'!$C$2:$C$439,2020,'2020-2025时序'!$E$2:$E$439,"&gt;0")=0,"",SUMIFS('2020-2025时序'!$E$2:$E$439,'2020-2025时序'!$B$2:$B$439,$B42,'2020-2025时序'!$C$2:$C$439,2020))</x:f>
      </x:c>
      <x:c r="M42" s="18" t="str">
        <x:f>IF(COUNTIFS('2020-2025时序'!$B$2:$B$439,$B42,'2020-2025时序'!$C$2:$C$439,2025,'2020-2025时序'!$E$2:$E$439,"&gt;0")=0,"",SUMIFS('2020-2025时序'!$E$2:$E$439,'2020-2025时序'!$B$2:$B$439,$B42,'2020-2025时序'!$C$2:$C$439,2025))</x:f>
      </x:c>
      <x:c r="N42" s="18" t="str">
        <x:f>IF(COUNTIFS('2020-2025时序'!$B$2:$B$439,$B42,'2020-2025时序'!$C$2:$C$439,2020,'2020-2025时序'!$F$2:$F$439,"&gt;0")=0,"",SUMIFS('2020-2025时序'!$F$2:$F$439,'2020-2025时序'!$B$2:$B$439,$B42,'2020-2025时序'!$C$2:$C$439,2020))</x:f>
      </x:c>
      <x:c r="O42" s="18" t="str">
        <x:f>IF(COUNTIFS('2020-2025时序'!$B$2:$B$439,$B42,'2020-2025时序'!$C$2:$C$439,2025,'2020-2025时序'!$F$2:$F$439,"&gt;0")=0,"",SUMIFS('2020-2025时序'!$F$2:$F$439,'2020-2025时序'!$B$2:$B$439,$B42,'2020-2025时序'!$C$2:$C$439,2025))</x:f>
      </x:c>
      <x:c r="P42" s="18" t="str">
        <x:f>IF(COUNTIFS('2020-2025时序'!$B$2:$B$439,$B42,'2020-2025时序'!$C$2:$C$439,2025,'2020-2025时序'!$G$2:$G$439,"&gt;0")=0,"",SUMIFS('2020-2025时序'!$G$2:$G$439,'2020-2025时序'!$B$2:$B$439,$B42,'2020-2025时序'!$C$2:$C$439,2025))</x:f>
      </x:c>
      <x:c r="Q42" s="18" t="str">
        <x:f>IF(COUNTIFS('2020-2025时序'!$B$2:$B$439,$B42,'2020-2025时序'!$C$2:$C$439,2025,'2020-2025时序'!$H$2:$H$439,"&gt;0")=0,"",SUMIFS('2020-2025时序'!$H$2:$H$439,'2020-2025时序'!$B$2:$B$439,$B42,'2020-2025时序'!$C$2:$C$439,2025))</x:f>
      </x:c>
      <x:c r="R42" s="18" t="str">
        <x:f>IF(COUNTIFS('2020-2025时序'!$B$2:$B$439,$B42,'2020-2025时序'!$C$2:$C$439,2025,'2020-2025时序'!$L$2:$L$439,"&gt;0")=0,"",SUMIFS('2020-2025时序'!$L$2:$L$439,'2020-2025时序'!$B$2:$B$439,$B42,'2020-2025时序'!$C$2:$C$439,2025))</x:f>
      </x:c>
      <x:c r="S42" s="18" t="str">
        <x:f>IF(COUNTIFS('2020-2025时序'!$B$2:$B$439,$B42,'2020-2025时序'!$C$2:$C$439,2025,'2020-2025时序'!$J$2:$J$439,"&gt;0")=0,"",SUMIFS('2020-2025时序'!$J$2:$J$439,'2020-2025时序'!$B$2:$B$439,$B42,'2020-2025时序'!$C$2:$C$439,2025))</x:f>
      </x:c>
      <x:c r="T42" s="41" t="str">
        <x:f>IF(OR(L42="",M42=""),"",IF(OR(N42="",O42=""),MIN(100,MAX(0,-(M42/L42-1)/0.10*100)),0.7*MIN(100,MAX(0,-(M42/L42-1)/0.10*100))+0.3*MIN(100,MAX(0,-(O42/N42-1)/0.50*100))))</x:f>
      </x:c>
      <x:c r="U42" s="41" t="str">
        <x:f>IF(OR(P42="",Q42="",Q42=0),"",MIN(100,MAX(0,100*(1-P42/Q42))))</x:f>
      </x:c>
      <x:c r="V42" s="41" t="str">
        <x:f>IFERROR(MIN(100,100*SUMIFS('2020-2025时序'!$O$2:$O$439,'2020-2025时序'!$B$2:$B$439,$B42,'2020-2025时序'!$C$2:$C$439,2025)/SUMIFS('2020-2025时序'!$J$2:$J$439,'2020-2025时序'!$B$2:$B$439,$B42,'2020-2025时序'!$C$2:$C$439,2025)),"")</x:f>
      </x:c>
      <x:c r="W42" s="41" t="str">
        <x:f>IF(OR(R42="",J42="",J42=0),"",MIN(100,100*R42/J42))</x:f>
      </x:c>
      <x:c r="X42" s="41" t="str">
        <x:f>IF(OR(K42="",T42="",U42="",W42=""),"",0.25*MIN(100,MAX(20,20+K42/0.08*80))+0.20*(100-T42)+0.20*(100-U42)+0.15*G42+0.10*(100-W42)+0.10*G42)</x:f>
      </x:c>
      <x:c r="Y42" s="41" t="n">
        <x:f>ROUND(100*COUNT(I42:S42)/11,0)</x:f>
        <x:v>0</x:v>
      </x:c>
      <x:c r="Z42" s="16" t="str">
        <x:f>IF(AND(J42&lt;&gt;"",K42&gt;0,M42&lt;&gt;"",L42&lt;&gt;"",M42&lt;L42),"表面增长/人口收缩",IF(AND(U42&lt;&gt;"",U42&gt;=80),"财政高度依赖",IF(E42="收缩风险","结构性收缩风险",IF(H42&gt;=75,"单一产业集中风险",""))))</x:f>
      </x:c>
      <x:c r="AA42" s="16" t="str">
        <x:f>"详见“2020-2025时序”逐年来源URL；产业与抓手为研究判断"</x:f>
        <x:v>详见“2020-2025时序”逐年来源URL；产业与抓手为研究判断</x:v>
      </x:c>
    </x:row>
    <x:row r="43">
      <x:c r="A43" s="16" t="str">
        <x:v>吉安市</x:v>
      </x:c>
      <x:c r="B43" s="16" t="str">
        <x:v>遂川县</x:v>
      </x:c>
      <x:c r="C43" s="16" t="str">
        <x:v>新材料/矿产、茶、食品</x:v>
      </x:c>
      <x:c r="D43" s="16" t="str">
        <x:v>B-/C+</x:v>
      </x:c>
      <x:c r="E43" s="16" t="str">
        <x:v>承压型</x:v>
      </x:c>
      <x:c r="F43" s="16" t="str">
        <x:v>资源深加工、特色农业</x:v>
      </x:c>
      <x:c r="G43" s="18" t="n">
        <x:v>62</x:v>
      </x:c>
      <x:c r="H43" s="18" t="n">
        <x:v>56</x:v>
      </x:c>
      <x:c r="I43" s="18" t="str">
        <x:f>IF(COUNTIFS('2020-2025时序'!$B$2:$B$439,$B43,'2020-2025时序'!$C$2:$C$439,2020,'2020-2025时序'!$D$2:$D$439,"&gt;0")=0,"",SUMIFS('2020-2025时序'!$D$2:$D$439,'2020-2025时序'!$B$2:$B$439,$B43,'2020-2025时序'!$C$2:$C$439,2020))</x:f>
      </x:c>
      <x:c r="J43" s="18" t="str">
        <x:f>IF(COUNTIFS('2020-2025时序'!$B$2:$B$439,$B43,'2020-2025时序'!$C$2:$C$439,2025,'2020-2025时序'!$D$2:$D$439,"&gt;0")=0,"",SUMIFS('2020-2025时序'!$D$2:$D$439,'2020-2025时序'!$B$2:$B$439,$B43,'2020-2025时序'!$C$2:$C$439,2025))</x:f>
      </x:c>
      <x:c r="K43" s="40" t="str">
        <x:f>IF(OR(I43="",J43=""),"",POWER(J43/I43,1/5)-1)</x:f>
      </x:c>
      <x:c r="L43" s="18" t="str">
        <x:f>IF(COUNTIFS('2020-2025时序'!$B$2:$B$439,$B43,'2020-2025时序'!$C$2:$C$439,2020,'2020-2025时序'!$E$2:$E$439,"&gt;0")=0,"",SUMIFS('2020-2025时序'!$E$2:$E$439,'2020-2025时序'!$B$2:$B$439,$B43,'2020-2025时序'!$C$2:$C$439,2020))</x:f>
      </x:c>
      <x:c r="M43" s="18" t="str">
        <x:f>IF(COUNTIFS('2020-2025时序'!$B$2:$B$439,$B43,'2020-2025时序'!$C$2:$C$439,2025,'2020-2025时序'!$E$2:$E$439,"&gt;0")=0,"",SUMIFS('2020-2025时序'!$E$2:$E$439,'2020-2025时序'!$B$2:$B$439,$B43,'2020-2025时序'!$C$2:$C$439,2025))</x:f>
      </x:c>
      <x:c r="N43" s="18" t="str">
        <x:f>IF(COUNTIFS('2020-2025时序'!$B$2:$B$439,$B43,'2020-2025时序'!$C$2:$C$439,2020,'2020-2025时序'!$F$2:$F$439,"&gt;0")=0,"",SUMIFS('2020-2025时序'!$F$2:$F$439,'2020-2025时序'!$B$2:$B$439,$B43,'2020-2025时序'!$C$2:$C$439,2020))</x:f>
      </x:c>
      <x:c r="O43" s="18" t="str">
        <x:f>IF(COUNTIFS('2020-2025时序'!$B$2:$B$439,$B43,'2020-2025时序'!$C$2:$C$439,2025,'2020-2025时序'!$F$2:$F$439,"&gt;0")=0,"",SUMIFS('2020-2025时序'!$F$2:$F$439,'2020-2025时序'!$B$2:$B$439,$B43,'2020-2025时序'!$C$2:$C$439,2025))</x:f>
      </x:c>
      <x:c r="P43" s="18" t="str">
        <x:f>IF(COUNTIFS('2020-2025时序'!$B$2:$B$439,$B43,'2020-2025时序'!$C$2:$C$439,2025,'2020-2025时序'!$G$2:$G$439,"&gt;0")=0,"",SUMIFS('2020-2025时序'!$G$2:$G$439,'2020-2025时序'!$B$2:$B$439,$B43,'2020-2025时序'!$C$2:$C$439,2025))</x:f>
      </x:c>
      <x:c r="Q43" s="18" t="str">
        <x:f>IF(COUNTIFS('2020-2025时序'!$B$2:$B$439,$B43,'2020-2025时序'!$C$2:$C$439,2025,'2020-2025时序'!$H$2:$H$439,"&gt;0")=0,"",SUMIFS('2020-2025时序'!$H$2:$H$439,'2020-2025时序'!$B$2:$B$439,$B43,'2020-2025时序'!$C$2:$C$439,2025))</x:f>
      </x:c>
      <x:c r="R43" s="18" t="str">
        <x:f>IF(COUNTIFS('2020-2025时序'!$B$2:$B$439,$B43,'2020-2025时序'!$C$2:$C$439,2025,'2020-2025时序'!$L$2:$L$439,"&gt;0")=0,"",SUMIFS('2020-2025时序'!$L$2:$L$439,'2020-2025时序'!$B$2:$B$439,$B43,'2020-2025时序'!$C$2:$C$439,2025))</x:f>
      </x:c>
      <x:c r="S43" s="18" t="str">
        <x:f>IF(COUNTIFS('2020-2025时序'!$B$2:$B$439,$B43,'2020-2025时序'!$C$2:$C$439,2025,'2020-2025时序'!$J$2:$J$439,"&gt;0")=0,"",SUMIFS('2020-2025时序'!$J$2:$J$439,'2020-2025时序'!$B$2:$B$439,$B43,'2020-2025时序'!$C$2:$C$439,2025))</x:f>
      </x:c>
      <x:c r="T43" s="41" t="str">
        <x:f>IF(OR(L43="",M43=""),"",IF(OR(N43="",O43=""),MIN(100,MAX(0,-(M43/L43-1)/0.10*100)),0.7*MIN(100,MAX(0,-(M43/L43-1)/0.10*100))+0.3*MIN(100,MAX(0,-(O43/N43-1)/0.50*100))))</x:f>
      </x:c>
      <x:c r="U43" s="41" t="str">
        <x:f>IF(OR(P43="",Q43="",Q43=0),"",MIN(100,MAX(0,100*(1-P43/Q43))))</x:f>
      </x:c>
      <x:c r="V43" s="41" t="str">
        <x:f>IFERROR(MIN(100,100*SUMIFS('2020-2025时序'!$O$2:$O$439,'2020-2025时序'!$B$2:$B$439,$B43,'2020-2025时序'!$C$2:$C$439,2025)/SUMIFS('2020-2025时序'!$J$2:$J$439,'2020-2025时序'!$B$2:$B$439,$B43,'2020-2025时序'!$C$2:$C$439,2025)),"")</x:f>
      </x:c>
      <x:c r="W43" s="41" t="str">
        <x:f>IF(OR(R43="",J43="",J43=0),"",MIN(100,100*R43/J43))</x:f>
      </x:c>
      <x:c r="X43" s="41" t="str">
        <x:f>IF(OR(K43="",T43="",U43="",W43=""),"",0.25*MIN(100,MAX(20,20+K43/0.08*80))+0.20*(100-T43)+0.20*(100-U43)+0.15*G43+0.10*(100-W43)+0.10*G43)</x:f>
      </x:c>
      <x:c r="Y43" s="41" t="n">
        <x:f>ROUND(100*COUNT(I43:S43)/11,0)</x:f>
        <x:v>0</x:v>
      </x:c>
      <x:c r="Z43" s="16" t="str">
        <x:f>IF(AND(J43&lt;&gt;"",K43&gt;0,M43&lt;&gt;"",L43&lt;&gt;"",M43&lt;L43),"表面增长/人口收缩",IF(AND(U43&lt;&gt;"",U43&gt;=80),"财政高度依赖",IF(E43="收缩风险","结构性收缩风险",IF(H43&gt;=75,"单一产业集中风险",""))))</x:f>
      </x:c>
      <x:c r="AA43" s="16" t="str">
        <x:f>"详见“2020-2025时序”逐年来源URL；产业与抓手为研究判断"</x:f>
        <x:v>详见“2020-2025时序”逐年来源URL；产业与抓手为研究判断</x:v>
      </x:c>
    </x:row>
    <x:row r="44">
      <x:c r="A44" s="16" t="str">
        <x:v>吉安市</x:v>
      </x:c>
      <x:c r="B44" s="16" t="str">
        <x:v>万安县</x:v>
      </x:c>
      <x:c r="C44" s="16" t="str">
        <x:v>电子配套、富硒农业、水电</x:v>
      </x:c>
      <x:c r="D44" s="16" t="str">
        <x:v>B-/C+</x:v>
      </x:c>
      <x:c r="E44" s="16" t="str">
        <x:v>承压型</x:v>
      </x:c>
      <x:c r="F44" s="16" t="str">
        <x:v>吉泰产业外溢、食品加工</x:v>
      </x:c>
      <x:c r="G44" s="18" t="n">
        <x:v>62</x:v>
      </x:c>
      <x:c r="H44" s="18" t="n">
        <x:v>56</x:v>
      </x:c>
      <x:c r="I44" s="18" t="str">
        <x:f>IF(COUNTIFS('2020-2025时序'!$B$2:$B$439,$B44,'2020-2025时序'!$C$2:$C$439,2020,'2020-2025时序'!$D$2:$D$439,"&gt;0")=0,"",SUMIFS('2020-2025时序'!$D$2:$D$439,'2020-2025时序'!$B$2:$B$439,$B44,'2020-2025时序'!$C$2:$C$439,2020))</x:f>
      </x:c>
      <x:c r="J44" s="18" t="str">
        <x:f>IF(COUNTIFS('2020-2025时序'!$B$2:$B$439,$B44,'2020-2025时序'!$C$2:$C$439,2025,'2020-2025时序'!$D$2:$D$439,"&gt;0")=0,"",SUMIFS('2020-2025时序'!$D$2:$D$439,'2020-2025时序'!$B$2:$B$439,$B44,'2020-2025时序'!$C$2:$C$439,2025))</x:f>
      </x:c>
      <x:c r="K44" s="40" t="str">
        <x:f>IF(OR(I44="",J44=""),"",POWER(J44/I44,1/5)-1)</x:f>
      </x:c>
      <x:c r="L44" s="18" t="str">
        <x:f>IF(COUNTIFS('2020-2025时序'!$B$2:$B$439,$B44,'2020-2025时序'!$C$2:$C$439,2020,'2020-2025时序'!$E$2:$E$439,"&gt;0")=0,"",SUMIFS('2020-2025时序'!$E$2:$E$439,'2020-2025时序'!$B$2:$B$439,$B44,'2020-2025时序'!$C$2:$C$439,2020))</x:f>
      </x:c>
      <x:c r="M44" s="18" t="str">
        <x:f>IF(COUNTIFS('2020-2025时序'!$B$2:$B$439,$B44,'2020-2025时序'!$C$2:$C$439,2025,'2020-2025时序'!$E$2:$E$439,"&gt;0")=0,"",SUMIFS('2020-2025时序'!$E$2:$E$439,'2020-2025时序'!$B$2:$B$439,$B44,'2020-2025时序'!$C$2:$C$439,2025))</x:f>
      </x:c>
      <x:c r="N44" s="18" t="str">
        <x:f>IF(COUNTIFS('2020-2025时序'!$B$2:$B$439,$B44,'2020-2025时序'!$C$2:$C$439,2020,'2020-2025时序'!$F$2:$F$439,"&gt;0")=0,"",SUMIFS('2020-2025时序'!$F$2:$F$439,'2020-2025时序'!$B$2:$B$439,$B44,'2020-2025时序'!$C$2:$C$439,2020))</x:f>
      </x:c>
      <x:c r="O44" s="18" t="str">
        <x:f>IF(COUNTIFS('2020-2025时序'!$B$2:$B$439,$B44,'2020-2025时序'!$C$2:$C$439,2025,'2020-2025时序'!$F$2:$F$439,"&gt;0")=0,"",SUMIFS('2020-2025时序'!$F$2:$F$439,'2020-2025时序'!$B$2:$B$439,$B44,'2020-2025时序'!$C$2:$C$439,2025))</x:f>
      </x:c>
      <x:c r="P44" s="18" t="str">
        <x:f>IF(COUNTIFS('2020-2025时序'!$B$2:$B$439,$B44,'2020-2025时序'!$C$2:$C$439,2025,'2020-2025时序'!$G$2:$G$439,"&gt;0")=0,"",SUMIFS('2020-2025时序'!$G$2:$G$439,'2020-2025时序'!$B$2:$B$439,$B44,'2020-2025时序'!$C$2:$C$439,2025))</x:f>
      </x:c>
      <x:c r="Q44" s="18" t="str">
        <x:f>IF(COUNTIFS('2020-2025时序'!$B$2:$B$439,$B44,'2020-2025时序'!$C$2:$C$439,2025,'2020-2025时序'!$H$2:$H$439,"&gt;0")=0,"",SUMIFS('2020-2025时序'!$H$2:$H$439,'2020-2025时序'!$B$2:$B$439,$B44,'2020-2025时序'!$C$2:$C$439,2025))</x:f>
      </x:c>
      <x:c r="R44" s="18" t="str">
        <x:f>IF(COUNTIFS('2020-2025时序'!$B$2:$B$439,$B44,'2020-2025时序'!$C$2:$C$439,2025,'2020-2025时序'!$L$2:$L$439,"&gt;0")=0,"",SUMIFS('2020-2025时序'!$L$2:$L$439,'2020-2025时序'!$B$2:$B$439,$B44,'2020-2025时序'!$C$2:$C$439,2025))</x:f>
      </x:c>
      <x:c r="S44" s="18" t="str">
        <x:f>IF(COUNTIFS('2020-2025时序'!$B$2:$B$439,$B44,'2020-2025时序'!$C$2:$C$439,2025,'2020-2025时序'!$J$2:$J$439,"&gt;0")=0,"",SUMIFS('2020-2025时序'!$J$2:$J$439,'2020-2025时序'!$B$2:$B$439,$B44,'2020-2025时序'!$C$2:$C$439,2025))</x:f>
      </x:c>
      <x:c r="T44" s="41" t="str">
        <x:f>IF(OR(L44="",M44=""),"",IF(OR(N44="",O44=""),MIN(100,MAX(0,-(M44/L44-1)/0.10*100)),0.7*MIN(100,MAX(0,-(M44/L44-1)/0.10*100))+0.3*MIN(100,MAX(0,-(O44/N44-1)/0.50*100))))</x:f>
      </x:c>
      <x:c r="U44" s="41" t="str">
        <x:f>IF(OR(P44="",Q44="",Q44=0),"",MIN(100,MAX(0,100*(1-P44/Q44))))</x:f>
      </x:c>
      <x:c r="V44" s="41" t="str">
        <x:f>IFERROR(MIN(100,100*SUMIFS('2020-2025时序'!$O$2:$O$439,'2020-2025时序'!$B$2:$B$439,$B44,'2020-2025时序'!$C$2:$C$439,2025)/SUMIFS('2020-2025时序'!$J$2:$J$439,'2020-2025时序'!$B$2:$B$439,$B44,'2020-2025时序'!$C$2:$C$439,2025)),"")</x:f>
      </x:c>
      <x:c r="W44" s="41" t="str">
        <x:f>IF(OR(R44="",J44="",J44=0),"",MIN(100,100*R44/J44))</x:f>
      </x:c>
      <x:c r="X44" s="41" t="str">
        <x:f>IF(OR(K44="",T44="",U44="",W44=""),"",0.25*MIN(100,MAX(20,20+K44/0.08*80))+0.20*(100-T44)+0.20*(100-U44)+0.15*G44+0.10*(100-W44)+0.10*G44)</x:f>
      </x:c>
      <x:c r="Y44" s="41" t="n">
        <x:f>ROUND(100*COUNT(I44:S44)/11,0)</x:f>
        <x:v>0</x:v>
      </x:c>
      <x:c r="Z44" s="16" t="str">
        <x:f>IF(AND(J44&lt;&gt;"",K44&gt;0,M44&lt;&gt;"",L44&lt;&gt;"",M44&lt;L44),"表面增长/人口收缩",IF(AND(U44&lt;&gt;"",U44&gt;=80),"财政高度依赖",IF(E44="收缩风险","结构性收缩风险",IF(H44&gt;=75,"单一产业集中风险",""))))</x:f>
      </x:c>
      <x:c r="AA44" s="16" t="str">
        <x:f>"详见“2020-2025时序”逐年来源URL；产业与抓手为研究判断"</x:f>
        <x:v>详见“2020-2025时序”逐年来源URL；产业与抓手为研究判断</x:v>
      </x:c>
    </x:row>
    <x:row r="45">
      <x:c r="A45" s="16" t="str">
        <x:v>吉安市</x:v>
      </x:c>
      <x:c r="B45" s="16" t="str">
        <x:v>安福县</x:v>
      </x:c>
      <x:c r="C45" s="16" t="str">
        <x:v>矿产新材料、农业、武功山旅游</x:v>
      </x:c>
      <x:c r="D45" s="16" t="str">
        <x:v>B-/C+</x:v>
      </x:c>
      <x:c r="E45" s="16" t="str">
        <x:v>承压型</x:v>
      </x:c>
      <x:c r="F45" s="16" t="str">
        <x:v>旅游+绿色资源</x:v>
      </x:c>
      <x:c r="G45" s="18" t="n">
        <x:v>62</x:v>
      </x:c>
      <x:c r="H45" s="18" t="n">
        <x:v>56</x:v>
      </x:c>
      <x:c r="I45" s="18" t="str">
        <x:f>IF(COUNTIFS('2020-2025时序'!$B$2:$B$439,$B45,'2020-2025时序'!$C$2:$C$439,2020,'2020-2025时序'!$D$2:$D$439,"&gt;0")=0,"",SUMIFS('2020-2025时序'!$D$2:$D$439,'2020-2025时序'!$B$2:$B$439,$B45,'2020-2025时序'!$C$2:$C$439,2020))</x:f>
      </x:c>
      <x:c r="J45" s="18" t="str">
        <x:f>IF(COUNTIFS('2020-2025时序'!$B$2:$B$439,$B45,'2020-2025时序'!$C$2:$C$439,2025,'2020-2025时序'!$D$2:$D$439,"&gt;0")=0,"",SUMIFS('2020-2025时序'!$D$2:$D$439,'2020-2025时序'!$B$2:$B$439,$B45,'2020-2025时序'!$C$2:$C$439,2025))</x:f>
      </x:c>
      <x:c r="K45" s="40" t="str">
        <x:f>IF(OR(I45="",J45=""),"",POWER(J45/I45,1/5)-1)</x:f>
      </x:c>
      <x:c r="L45" s="18" t="str">
        <x:f>IF(COUNTIFS('2020-2025时序'!$B$2:$B$439,$B45,'2020-2025时序'!$C$2:$C$439,2020,'2020-2025时序'!$E$2:$E$439,"&gt;0")=0,"",SUMIFS('2020-2025时序'!$E$2:$E$439,'2020-2025时序'!$B$2:$B$439,$B45,'2020-2025时序'!$C$2:$C$439,2020))</x:f>
      </x:c>
      <x:c r="M45" s="18" t="str">
        <x:f>IF(COUNTIFS('2020-2025时序'!$B$2:$B$439,$B45,'2020-2025时序'!$C$2:$C$439,2025,'2020-2025时序'!$E$2:$E$439,"&gt;0")=0,"",SUMIFS('2020-2025时序'!$E$2:$E$439,'2020-2025时序'!$B$2:$B$439,$B45,'2020-2025时序'!$C$2:$C$439,2025))</x:f>
      </x:c>
      <x:c r="N45" s="18" t="str">
        <x:f>IF(COUNTIFS('2020-2025时序'!$B$2:$B$439,$B45,'2020-2025时序'!$C$2:$C$439,2020,'2020-2025时序'!$F$2:$F$439,"&gt;0")=0,"",SUMIFS('2020-2025时序'!$F$2:$F$439,'2020-2025时序'!$B$2:$B$439,$B45,'2020-2025时序'!$C$2:$C$439,2020))</x:f>
      </x:c>
      <x:c r="O45" s="18" t="str">
        <x:f>IF(COUNTIFS('2020-2025时序'!$B$2:$B$439,$B45,'2020-2025时序'!$C$2:$C$439,2025,'2020-2025时序'!$F$2:$F$439,"&gt;0")=0,"",SUMIFS('2020-2025时序'!$F$2:$F$439,'2020-2025时序'!$B$2:$B$439,$B45,'2020-2025时序'!$C$2:$C$439,2025))</x:f>
      </x:c>
      <x:c r="P45" s="18" t="str">
        <x:f>IF(COUNTIFS('2020-2025时序'!$B$2:$B$439,$B45,'2020-2025时序'!$C$2:$C$439,2025,'2020-2025时序'!$G$2:$G$439,"&gt;0")=0,"",SUMIFS('2020-2025时序'!$G$2:$G$439,'2020-2025时序'!$B$2:$B$439,$B45,'2020-2025时序'!$C$2:$C$439,2025))</x:f>
      </x:c>
      <x:c r="Q45" s="18" t="str">
        <x:f>IF(COUNTIFS('2020-2025时序'!$B$2:$B$439,$B45,'2020-2025时序'!$C$2:$C$439,2025,'2020-2025时序'!$H$2:$H$439,"&gt;0")=0,"",SUMIFS('2020-2025时序'!$H$2:$H$439,'2020-2025时序'!$B$2:$B$439,$B45,'2020-2025时序'!$C$2:$C$439,2025))</x:f>
      </x:c>
      <x:c r="R45" s="18" t="str">
        <x:f>IF(COUNTIFS('2020-2025时序'!$B$2:$B$439,$B45,'2020-2025时序'!$C$2:$C$439,2025,'2020-2025时序'!$L$2:$L$439,"&gt;0")=0,"",SUMIFS('2020-2025时序'!$L$2:$L$439,'2020-2025时序'!$B$2:$B$439,$B45,'2020-2025时序'!$C$2:$C$439,2025))</x:f>
      </x:c>
      <x:c r="S45" s="18" t="str">
        <x:f>IF(COUNTIFS('2020-2025时序'!$B$2:$B$439,$B45,'2020-2025时序'!$C$2:$C$439,2025,'2020-2025时序'!$J$2:$J$439,"&gt;0")=0,"",SUMIFS('2020-2025时序'!$J$2:$J$439,'2020-2025时序'!$B$2:$B$439,$B45,'2020-2025时序'!$C$2:$C$439,2025))</x:f>
      </x:c>
      <x:c r="T45" s="41" t="str">
        <x:f>IF(OR(L45="",M45=""),"",IF(OR(N45="",O45=""),MIN(100,MAX(0,-(M45/L45-1)/0.10*100)),0.7*MIN(100,MAX(0,-(M45/L45-1)/0.10*100))+0.3*MIN(100,MAX(0,-(O45/N45-1)/0.50*100))))</x:f>
      </x:c>
      <x:c r="U45" s="41" t="str">
        <x:f>IF(OR(P45="",Q45="",Q45=0),"",MIN(100,MAX(0,100*(1-P45/Q45))))</x:f>
      </x:c>
      <x:c r="V45" s="41" t="str">
        <x:f>IFERROR(MIN(100,100*SUMIFS('2020-2025时序'!$O$2:$O$439,'2020-2025时序'!$B$2:$B$439,$B45,'2020-2025时序'!$C$2:$C$439,2025)/SUMIFS('2020-2025时序'!$J$2:$J$439,'2020-2025时序'!$B$2:$B$439,$B45,'2020-2025时序'!$C$2:$C$439,2025)),"")</x:f>
      </x:c>
      <x:c r="W45" s="41" t="str">
        <x:f>IF(OR(R45="",J45="",J45=0),"",MIN(100,100*R45/J45))</x:f>
      </x:c>
      <x:c r="X45" s="41" t="str">
        <x:f>IF(OR(K45="",T45="",U45="",W45=""),"",0.25*MIN(100,MAX(20,20+K45/0.08*80))+0.20*(100-T45)+0.20*(100-U45)+0.15*G45+0.10*(100-W45)+0.10*G45)</x:f>
      </x:c>
      <x:c r="Y45" s="41" t="n">
        <x:f>ROUND(100*COUNT(I45:S45)/11,0)</x:f>
        <x:v>0</x:v>
      </x:c>
      <x:c r="Z45" s="16" t="str">
        <x:f>IF(AND(J45&lt;&gt;"",K45&gt;0,M45&lt;&gt;"",L45&lt;&gt;"",M45&lt;L45),"表面增长/人口收缩",IF(AND(U45&lt;&gt;"",U45&gt;=80),"财政高度依赖",IF(E45="收缩风险","结构性收缩风险",IF(H45&gt;=75,"单一产业集中风险",""))))</x:f>
      </x:c>
      <x:c r="AA45" s="16" t="str">
        <x:f>"详见“2020-2025时序”逐年来源URL；产业与抓手为研究判断"</x:f>
        <x:v>详见“2020-2025时序”逐年来源URL；产业与抓手为研究判断</x:v>
      </x:c>
    </x:row>
    <x:row r="46">
      <x:c r="A46" s="16" t="str">
        <x:v>吉安市</x:v>
      </x:c>
      <x:c r="B46" s="16" t="str">
        <x:v>永新县</x:v>
      </x:c>
      <x:c r="C46" s="16" t="str">
        <x:v>新材料、电子、纺织农业</x:v>
      </x:c>
      <x:c r="D46" s="16" t="str">
        <x:v>B-/C+</x:v>
      </x:c>
      <x:c r="E46" s="16" t="str">
        <x:v>承压型</x:v>
      </x:c>
      <x:c r="F46" s="16" t="str">
        <x:v>产业承接</x:v>
      </x:c>
      <x:c r="G46" s="18" t="n">
        <x:v>62</x:v>
      </x:c>
      <x:c r="H46" s="18" t="n">
        <x:v>56</x:v>
      </x:c>
      <x:c r="I46" s="18" t="str">
        <x:f>IF(COUNTIFS('2020-2025时序'!$B$2:$B$439,$B46,'2020-2025时序'!$C$2:$C$439,2020,'2020-2025时序'!$D$2:$D$439,"&gt;0")=0,"",SUMIFS('2020-2025时序'!$D$2:$D$439,'2020-2025时序'!$B$2:$B$439,$B46,'2020-2025时序'!$C$2:$C$439,2020))</x:f>
      </x:c>
      <x:c r="J46" s="18" t="str">
        <x:f>IF(COUNTIFS('2020-2025时序'!$B$2:$B$439,$B46,'2020-2025时序'!$C$2:$C$439,2025,'2020-2025时序'!$D$2:$D$439,"&gt;0")=0,"",SUMIFS('2020-2025时序'!$D$2:$D$439,'2020-2025时序'!$B$2:$B$439,$B46,'2020-2025时序'!$C$2:$C$439,2025))</x:f>
      </x:c>
      <x:c r="K46" s="40" t="str">
        <x:f>IF(OR(I46="",J46=""),"",POWER(J46/I46,1/5)-1)</x:f>
      </x:c>
      <x:c r="L46" s="18" t="str">
        <x:f>IF(COUNTIFS('2020-2025时序'!$B$2:$B$439,$B46,'2020-2025时序'!$C$2:$C$439,2020,'2020-2025时序'!$E$2:$E$439,"&gt;0")=0,"",SUMIFS('2020-2025时序'!$E$2:$E$439,'2020-2025时序'!$B$2:$B$439,$B46,'2020-2025时序'!$C$2:$C$439,2020))</x:f>
      </x:c>
      <x:c r="M46" s="18" t="str">
        <x:f>IF(COUNTIFS('2020-2025时序'!$B$2:$B$439,$B46,'2020-2025时序'!$C$2:$C$439,2025,'2020-2025时序'!$E$2:$E$439,"&gt;0")=0,"",SUMIFS('2020-2025时序'!$E$2:$E$439,'2020-2025时序'!$B$2:$B$439,$B46,'2020-2025时序'!$C$2:$C$439,2025))</x:f>
      </x:c>
      <x:c r="N46" s="18" t="str">
        <x:f>IF(COUNTIFS('2020-2025时序'!$B$2:$B$439,$B46,'2020-2025时序'!$C$2:$C$439,2020,'2020-2025时序'!$F$2:$F$439,"&gt;0")=0,"",SUMIFS('2020-2025时序'!$F$2:$F$439,'2020-2025时序'!$B$2:$B$439,$B46,'2020-2025时序'!$C$2:$C$439,2020))</x:f>
      </x:c>
      <x:c r="O46" s="18" t="str">
        <x:f>IF(COUNTIFS('2020-2025时序'!$B$2:$B$439,$B46,'2020-2025时序'!$C$2:$C$439,2025,'2020-2025时序'!$F$2:$F$439,"&gt;0")=0,"",SUMIFS('2020-2025时序'!$F$2:$F$439,'2020-2025时序'!$B$2:$B$439,$B46,'2020-2025时序'!$C$2:$C$439,2025))</x:f>
      </x:c>
      <x:c r="P46" s="18" t="str">
        <x:f>IF(COUNTIFS('2020-2025时序'!$B$2:$B$439,$B46,'2020-2025时序'!$C$2:$C$439,2025,'2020-2025时序'!$G$2:$G$439,"&gt;0")=0,"",SUMIFS('2020-2025时序'!$G$2:$G$439,'2020-2025时序'!$B$2:$B$439,$B46,'2020-2025时序'!$C$2:$C$439,2025))</x:f>
      </x:c>
      <x:c r="Q46" s="18" t="str">
        <x:f>IF(COUNTIFS('2020-2025时序'!$B$2:$B$439,$B46,'2020-2025时序'!$C$2:$C$439,2025,'2020-2025时序'!$H$2:$H$439,"&gt;0")=0,"",SUMIFS('2020-2025时序'!$H$2:$H$439,'2020-2025时序'!$B$2:$B$439,$B46,'2020-2025时序'!$C$2:$C$439,2025))</x:f>
      </x:c>
      <x:c r="R46" s="18" t="str">
        <x:f>IF(COUNTIFS('2020-2025时序'!$B$2:$B$439,$B46,'2020-2025时序'!$C$2:$C$439,2025,'2020-2025时序'!$L$2:$L$439,"&gt;0")=0,"",SUMIFS('2020-2025时序'!$L$2:$L$439,'2020-2025时序'!$B$2:$B$439,$B46,'2020-2025时序'!$C$2:$C$439,2025))</x:f>
      </x:c>
      <x:c r="S46" s="18" t="str">
        <x:f>IF(COUNTIFS('2020-2025时序'!$B$2:$B$439,$B46,'2020-2025时序'!$C$2:$C$439,2025,'2020-2025时序'!$J$2:$J$439,"&gt;0")=0,"",SUMIFS('2020-2025时序'!$J$2:$J$439,'2020-2025时序'!$B$2:$B$439,$B46,'2020-2025时序'!$C$2:$C$439,2025))</x:f>
      </x:c>
      <x:c r="T46" s="41" t="str">
        <x:f>IF(OR(L46="",M46=""),"",IF(OR(N46="",O46=""),MIN(100,MAX(0,-(M46/L46-1)/0.10*100)),0.7*MIN(100,MAX(0,-(M46/L46-1)/0.10*100))+0.3*MIN(100,MAX(0,-(O46/N46-1)/0.50*100))))</x:f>
      </x:c>
      <x:c r="U46" s="41" t="str">
        <x:f>IF(OR(P46="",Q46="",Q46=0),"",MIN(100,MAX(0,100*(1-P46/Q46))))</x:f>
      </x:c>
      <x:c r="V46" s="41" t="str">
        <x:f>IFERROR(MIN(100,100*SUMIFS('2020-2025时序'!$O$2:$O$439,'2020-2025时序'!$B$2:$B$439,$B46,'2020-2025时序'!$C$2:$C$439,2025)/SUMIFS('2020-2025时序'!$J$2:$J$439,'2020-2025时序'!$B$2:$B$439,$B46,'2020-2025时序'!$C$2:$C$439,2025)),"")</x:f>
      </x:c>
      <x:c r="W46" s="41" t="str">
        <x:f>IF(OR(R46="",J46="",J46=0),"",MIN(100,100*R46/J46))</x:f>
      </x:c>
      <x:c r="X46" s="41" t="str">
        <x:f>IF(OR(K46="",T46="",U46="",W46=""),"",0.25*MIN(100,MAX(20,20+K46/0.08*80))+0.20*(100-T46)+0.20*(100-U46)+0.15*G46+0.10*(100-W46)+0.10*G46)</x:f>
      </x:c>
      <x:c r="Y46" s="41" t="n">
        <x:f>ROUND(100*COUNT(I46:S46)/11,0)</x:f>
        <x:v>0</x:v>
      </x:c>
      <x:c r="Z46" s="16" t="str">
        <x:f>IF(AND(J46&lt;&gt;"",K46&gt;0,M46&lt;&gt;"",L46&lt;&gt;"",M46&lt;L46),"表面增长/人口收缩",IF(AND(U46&lt;&gt;"",U46&gt;=80),"财政高度依赖",IF(E46="收缩风险","结构性收缩风险",IF(H46&gt;=75,"单一产业集中风险",""))))</x:f>
      </x:c>
      <x:c r="AA46" s="16" t="str">
        <x:f>"详见“2020-2025时序”逐年来源URL；产业与抓手为研究判断"</x:f>
        <x:v>详见“2020-2025时序”逐年来源URL；产业与抓手为研究判断</x:v>
      </x:c>
    </x:row>
    <x:row r="47">
      <x:c r="A47" s="16" t="str">
        <x:v>吉安市</x:v>
      </x:c>
      <x:c r="B47" s="16" t="str">
        <x:v>井冈山市</x:v>
      </x:c>
      <x:c r="C47" s="16" t="str">
        <x:v>文旅、培训、绿色农业</x:v>
      </x:c>
      <x:c r="D47" s="16" t="str">
        <x:v>B-/C+</x:v>
      </x:c>
      <x:c r="E47" s="16" t="str">
        <x:v>承压型</x:v>
      </x:c>
      <x:c r="F47" s="16" t="str">
        <x:v>红色旅游和度假升级</x:v>
      </x:c>
      <x:c r="G47" s="18" t="n">
        <x:v>62</x:v>
      </x:c>
      <x:c r="H47" s="18" t="n">
        <x:v>48</x:v>
      </x:c>
      <x:c r="I47" s="18" t="str">
        <x:f>IF(COUNTIFS('2020-2025时序'!$B$2:$B$439,$B47,'2020-2025时序'!$C$2:$C$439,2020,'2020-2025时序'!$D$2:$D$439,"&gt;0")=0,"",SUMIFS('2020-2025时序'!$D$2:$D$439,'2020-2025时序'!$B$2:$B$439,$B47,'2020-2025时序'!$C$2:$C$439,2020))</x:f>
      </x:c>
      <x:c r="J47" s="18" t="str">
        <x:f>IF(COUNTIFS('2020-2025时序'!$B$2:$B$439,$B47,'2020-2025时序'!$C$2:$C$439,2025,'2020-2025时序'!$D$2:$D$439,"&gt;0")=0,"",SUMIFS('2020-2025时序'!$D$2:$D$439,'2020-2025时序'!$B$2:$B$439,$B47,'2020-2025时序'!$C$2:$C$439,2025))</x:f>
      </x:c>
      <x:c r="K47" s="40" t="str">
        <x:f>IF(OR(I47="",J47=""),"",POWER(J47/I47,1/5)-1)</x:f>
      </x:c>
      <x:c r="L47" s="18" t="str">
        <x:f>IF(COUNTIFS('2020-2025时序'!$B$2:$B$439,$B47,'2020-2025时序'!$C$2:$C$439,2020,'2020-2025时序'!$E$2:$E$439,"&gt;0")=0,"",SUMIFS('2020-2025时序'!$E$2:$E$439,'2020-2025时序'!$B$2:$B$439,$B47,'2020-2025时序'!$C$2:$C$439,2020))</x:f>
      </x:c>
      <x:c r="M47" s="18" t="str">
        <x:f>IF(COUNTIFS('2020-2025时序'!$B$2:$B$439,$B47,'2020-2025时序'!$C$2:$C$439,2025,'2020-2025时序'!$E$2:$E$439,"&gt;0")=0,"",SUMIFS('2020-2025时序'!$E$2:$E$439,'2020-2025时序'!$B$2:$B$439,$B47,'2020-2025时序'!$C$2:$C$439,2025))</x:f>
      </x:c>
      <x:c r="N47" s="18" t="str">
        <x:f>IF(COUNTIFS('2020-2025时序'!$B$2:$B$439,$B47,'2020-2025时序'!$C$2:$C$439,2020,'2020-2025时序'!$F$2:$F$439,"&gt;0")=0,"",SUMIFS('2020-2025时序'!$F$2:$F$439,'2020-2025时序'!$B$2:$B$439,$B47,'2020-2025时序'!$C$2:$C$439,2020))</x:f>
      </x:c>
      <x:c r="O47" s="18" t="str">
        <x:f>IF(COUNTIFS('2020-2025时序'!$B$2:$B$439,$B47,'2020-2025时序'!$C$2:$C$439,2025,'2020-2025时序'!$F$2:$F$439,"&gt;0")=0,"",SUMIFS('2020-2025时序'!$F$2:$F$439,'2020-2025时序'!$B$2:$B$439,$B47,'2020-2025时序'!$C$2:$C$439,2025))</x:f>
      </x:c>
      <x:c r="P47" s="18" t="str">
        <x:f>IF(COUNTIFS('2020-2025时序'!$B$2:$B$439,$B47,'2020-2025时序'!$C$2:$C$439,2025,'2020-2025时序'!$G$2:$G$439,"&gt;0")=0,"",SUMIFS('2020-2025时序'!$G$2:$G$439,'2020-2025时序'!$B$2:$B$439,$B47,'2020-2025时序'!$C$2:$C$439,2025))</x:f>
      </x:c>
      <x:c r="Q47" s="18" t="str">
        <x:f>IF(COUNTIFS('2020-2025时序'!$B$2:$B$439,$B47,'2020-2025时序'!$C$2:$C$439,2025,'2020-2025时序'!$H$2:$H$439,"&gt;0")=0,"",SUMIFS('2020-2025时序'!$H$2:$H$439,'2020-2025时序'!$B$2:$B$439,$B47,'2020-2025时序'!$C$2:$C$439,2025))</x:f>
      </x:c>
      <x:c r="R47" s="18" t="str">
        <x:f>IF(COUNTIFS('2020-2025时序'!$B$2:$B$439,$B47,'2020-2025时序'!$C$2:$C$439,2025,'2020-2025时序'!$L$2:$L$439,"&gt;0")=0,"",SUMIFS('2020-2025时序'!$L$2:$L$439,'2020-2025时序'!$B$2:$B$439,$B47,'2020-2025时序'!$C$2:$C$439,2025))</x:f>
      </x:c>
      <x:c r="S47" s="18" t="str">
        <x:f>IF(COUNTIFS('2020-2025时序'!$B$2:$B$439,$B47,'2020-2025时序'!$C$2:$C$439,2025,'2020-2025时序'!$J$2:$J$439,"&gt;0")=0,"",SUMIFS('2020-2025时序'!$J$2:$J$439,'2020-2025时序'!$B$2:$B$439,$B47,'2020-2025时序'!$C$2:$C$439,2025))</x:f>
      </x:c>
      <x:c r="T47" s="41" t="str">
        <x:f>IF(OR(L47="",M47=""),"",IF(OR(N47="",O47=""),MIN(100,MAX(0,-(M47/L47-1)/0.10*100)),0.7*MIN(100,MAX(0,-(M47/L47-1)/0.10*100))+0.3*MIN(100,MAX(0,-(O47/N47-1)/0.50*100))))</x:f>
      </x:c>
      <x:c r="U47" s="41" t="str">
        <x:f>IF(OR(P47="",Q47="",Q47=0),"",MIN(100,MAX(0,100*(1-P47/Q47))))</x:f>
      </x:c>
      <x:c r="V47" s="41" t="str">
        <x:f>IFERROR(MIN(100,100*SUMIFS('2020-2025时序'!$O$2:$O$439,'2020-2025时序'!$B$2:$B$439,$B47,'2020-2025时序'!$C$2:$C$439,2025)/SUMIFS('2020-2025时序'!$J$2:$J$439,'2020-2025时序'!$B$2:$B$439,$B47,'2020-2025时序'!$C$2:$C$439,2025)),"")</x:f>
      </x:c>
      <x:c r="W47" s="41" t="str">
        <x:f>IF(OR(R47="",J47="",J47=0),"",MIN(100,100*R47/J47))</x:f>
      </x:c>
      <x:c r="X47" s="41" t="str">
        <x:f>IF(OR(K47="",T47="",U47="",W47=""),"",0.25*MIN(100,MAX(20,20+K47/0.08*80))+0.20*(100-T47)+0.20*(100-U47)+0.15*G47+0.10*(100-W47)+0.10*G47)</x:f>
      </x:c>
      <x:c r="Y47" s="41" t="n">
        <x:f>ROUND(100*COUNT(I47:S47)/11,0)</x:f>
        <x:v>0</x:v>
      </x:c>
      <x:c r="Z47" s="16" t="str">
        <x:f>IF(AND(J47&lt;&gt;"",K47&gt;0,M47&lt;&gt;"",L47&lt;&gt;"",M47&lt;L47),"表面增长/人口收缩",IF(AND(U47&lt;&gt;"",U47&gt;=80),"财政高度依赖",IF(E47="收缩风险","结构性收缩风险",IF(H47&gt;=75,"单一产业集中风险",""))))</x:f>
      </x:c>
      <x:c r="AA47" s="16" t="str">
        <x:f>"详见“2020-2025时序”逐年来源URL；产业与抓手为研究判断"</x:f>
        <x:v>详见“2020-2025时序”逐年来源URL；产业与抓手为研究判断</x:v>
      </x:c>
    </x:row>
    <x:row r="48">
      <x:c r="A48" s="16" t="str">
        <x:v>宜春市</x:v>
      </x:c>
      <x:c r="B48" s="16" t="str">
        <x:v>丰城市</x:v>
      </x:c>
      <x:c r="C48" s="16" t="str">
        <x:v>循环经济、铜铝、装备、电力、新能源</x:v>
      </x:c>
      <x:c r="D48" s="16" t="str">
        <x:v>A-/B+</x:v>
      </x:c>
      <x:c r="E48" s="16" t="str">
        <x:v>增长型</x:v>
      </x:c>
      <x:c r="F48" s="16" t="str">
        <x:v>循环经济、高端材料</x:v>
      </x:c>
      <x:c r="G48" s="18" t="n">
        <x:v>82</x:v>
      </x:c>
      <x:c r="H48" s="18" t="n">
        <x:v>58</x:v>
      </x:c>
      <x:c r="I48" s="18" t="n">
        <x:f>IF(COUNTIFS('2020-2025时序'!$B$2:$B$439,$B48,'2020-2025时序'!$C$2:$C$439,2020,'2020-2025时序'!$D$2:$D$439,"&gt;0")=0,"",SUMIFS('2020-2025时序'!$D$2:$D$439,'2020-2025时序'!$B$2:$B$439,$B48,'2020-2025时序'!$C$2:$C$439,2020))</x:f>
        <x:v>535.2</x:v>
      </x:c>
      <x:c r="J48" s="18" t="str">
        <x:f>IF(COUNTIFS('2020-2025时序'!$B$2:$B$439,$B48,'2020-2025时序'!$C$2:$C$439,2025,'2020-2025时序'!$D$2:$D$439,"&gt;0")=0,"",SUMIFS('2020-2025时序'!$D$2:$D$439,'2020-2025时序'!$B$2:$B$439,$B48,'2020-2025时序'!$C$2:$C$439,2025))</x:f>
      </x:c>
      <x:c r="K48" s="40" t="str">
        <x:f>IF(OR(I48="",J48=""),"",POWER(J48/I48,1/5)-1)</x:f>
      </x:c>
      <x:c r="L48" s="18" t="str">
        <x:f>IF(COUNTIFS('2020-2025时序'!$B$2:$B$439,$B48,'2020-2025时序'!$C$2:$C$439,2020,'2020-2025时序'!$E$2:$E$439,"&gt;0")=0,"",SUMIFS('2020-2025时序'!$E$2:$E$439,'2020-2025时序'!$B$2:$B$439,$B48,'2020-2025时序'!$C$2:$C$439,2020))</x:f>
      </x:c>
      <x:c r="M48" s="18" t="str">
        <x:f>IF(COUNTIFS('2020-2025时序'!$B$2:$B$439,$B48,'2020-2025时序'!$C$2:$C$439,2025,'2020-2025时序'!$E$2:$E$439,"&gt;0")=0,"",SUMIFS('2020-2025时序'!$E$2:$E$439,'2020-2025时序'!$B$2:$B$439,$B48,'2020-2025时序'!$C$2:$C$439,2025))</x:f>
      </x:c>
      <x:c r="N48" s="18" t="str">
        <x:f>IF(COUNTIFS('2020-2025时序'!$B$2:$B$439,$B48,'2020-2025时序'!$C$2:$C$439,2020,'2020-2025时序'!$F$2:$F$439,"&gt;0")=0,"",SUMIFS('2020-2025时序'!$F$2:$F$439,'2020-2025时序'!$B$2:$B$439,$B48,'2020-2025时序'!$C$2:$C$439,2020))</x:f>
      </x:c>
      <x:c r="O48" s="18" t="str">
        <x:f>IF(COUNTIFS('2020-2025时序'!$B$2:$B$439,$B48,'2020-2025时序'!$C$2:$C$439,2025,'2020-2025时序'!$F$2:$F$439,"&gt;0")=0,"",SUMIFS('2020-2025时序'!$F$2:$F$439,'2020-2025时序'!$B$2:$B$439,$B48,'2020-2025时序'!$C$2:$C$439,2025))</x:f>
      </x:c>
      <x:c r="P48" s="18" t="str">
        <x:f>IF(COUNTIFS('2020-2025时序'!$B$2:$B$439,$B48,'2020-2025时序'!$C$2:$C$439,2025,'2020-2025时序'!$G$2:$G$439,"&gt;0")=0,"",SUMIFS('2020-2025时序'!$G$2:$G$439,'2020-2025时序'!$B$2:$B$439,$B48,'2020-2025时序'!$C$2:$C$439,2025))</x:f>
      </x:c>
      <x:c r="Q48" s="18" t="str">
        <x:f>IF(COUNTIFS('2020-2025时序'!$B$2:$B$439,$B48,'2020-2025时序'!$C$2:$C$439,2025,'2020-2025时序'!$H$2:$H$439,"&gt;0")=0,"",SUMIFS('2020-2025时序'!$H$2:$H$439,'2020-2025时序'!$B$2:$B$439,$B48,'2020-2025时序'!$C$2:$C$439,2025))</x:f>
      </x:c>
      <x:c r="R48" s="18" t="str">
        <x:f>IF(COUNTIFS('2020-2025时序'!$B$2:$B$439,$B48,'2020-2025时序'!$C$2:$C$439,2025,'2020-2025时序'!$L$2:$L$439,"&gt;0")=0,"",SUMIFS('2020-2025时序'!$L$2:$L$439,'2020-2025时序'!$B$2:$B$439,$B48,'2020-2025时序'!$C$2:$C$439,2025))</x:f>
      </x:c>
      <x:c r="S48" s="18" t="str">
        <x:f>IF(COUNTIFS('2020-2025时序'!$B$2:$B$439,$B48,'2020-2025时序'!$C$2:$C$439,2025,'2020-2025时序'!$J$2:$J$439,"&gt;0")=0,"",SUMIFS('2020-2025时序'!$J$2:$J$439,'2020-2025时序'!$B$2:$B$439,$B48,'2020-2025时序'!$C$2:$C$439,2025))</x:f>
      </x:c>
      <x:c r="T48" s="41" t="str">
        <x:f>IF(OR(L48="",M48=""),"",IF(OR(N48="",O48=""),MIN(100,MAX(0,-(M48/L48-1)/0.10*100)),0.7*MIN(100,MAX(0,-(M48/L48-1)/0.10*100))+0.3*MIN(100,MAX(0,-(O48/N48-1)/0.50*100))))</x:f>
      </x:c>
      <x:c r="U48" s="41" t="str">
        <x:f>IF(OR(P48="",Q48="",Q48=0),"",MIN(100,MAX(0,100*(1-P48/Q48))))</x:f>
      </x:c>
      <x:c r="V48" s="41" t="str">
        <x:f>IFERROR(MIN(100,100*SUMIFS('2020-2025时序'!$O$2:$O$439,'2020-2025时序'!$B$2:$B$439,$B48,'2020-2025时序'!$C$2:$C$439,2025)/SUMIFS('2020-2025时序'!$J$2:$J$439,'2020-2025时序'!$B$2:$B$439,$B48,'2020-2025时序'!$C$2:$C$439,2025)),"")</x:f>
      </x:c>
      <x:c r="W48" s="41" t="str">
        <x:f>IF(OR(R48="",J48="",J48=0),"",MIN(100,100*R48/J48))</x:f>
      </x:c>
      <x:c r="X48" s="41" t="str">
        <x:f>IF(OR(K48="",T48="",U48="",W48=""),"",0.25*MIN(100,MAX(20,20+K48/0.08*80))+0.20*(100-T48)+0.20*(100-U48)+0.15*G48+0.10*(100-W48)+0.10*G48)</x:f>
      </x:c>
      <x:c r="Y48" s="41" t="n">
        <x:f>ROUND(100*COUNT(I48:S48)/11,0)</x:f>
        <x:v>9</x:v>
      </x:c>
      <x:c r="Z48" s="16" t="str">
        <x:f>IF(AND(J48&lt;&gt;"",K48&gt;0,M48&lt;&gt;"",L48&lt;&gt;"",M48&lt;L48),"表面增长/人口收缩",IF(AND(U48&lt;&gt;"",U48&gt;=80),"财政高度依赖",IF(E48="收缩风险","结构性收缩风险",IF(H48&gt;=75,"单一产业集中风险",""))))</x:f>
      </x:c>
      <x:c r="AA48" s="16" t="str">
        <x:f>"详见“2020-2025时序”逐年来源URL；产业与抓手为研究判断"</x:f>
        <x:v>详见“2020-2025时序”逐年来源URL；产业与抓手为研究判断</x:v>
      </x:c>
    </x:row>
    <x:row r="49">
      <x:c r="A49" s="16" t="str">
        <x:v>宜春市</x:v>
      </x:c>
      <x:c r="B49" s="16" t="str">
        <x:v>樟树市</x:v>
      </x:c>
      <x:c r="C49" s="16" t="str">
        <x:v>中药医药、盐化工、金属家具、酒</x:v>
      </x:c>
      <x:c r="D49" s="16" t="str">
        <x:v>B+</x:v>
      </x:c>
      <x:c r="E49" s="16" t="str">
        <x:v>转型增长型</x:v>
      </x:c>
      <x:c r="F49" s="16" t="str">
        <x:v>医药升级、精细化工</x:v>
      </x:c>
      <x:c r="G49" s="18" t="n">
        <x:v>77</x:v>
      </x:c>
      <x:c r="H49" s="18" t="n">
        <x:v>46</x:v>
      </x:c>
      <x:c r="I49" s="18" t="n">
        <x:f>IF(COUNTIFS('2020-2025时序'!$B$2:$B$439,$B49,'2020-2025时序'!$C$2:$C$439,2020,'2020-2025时序'!$D$2:$D$439,"&gt;0")=0,"",SUMIFS('2020-2025时序'!$D$2:$D$439,'2020-2025时序'!$B$2:$B$439,$B49,'2020-2025时序'!$C$2:$C$439,2020))</x:f>
        <x:v>424.7</x:v>
      </x:c>
      <x:c r="J49" s="18" t="str">
        <x:f>IF(COUNTIFS('2020-2025时序'!$B$2:$B$439,$B49,'2020-2025时序'!$C$2:$C$439,2025,'2020-2025时序'!$D$2:$D$439,"&gt;0")=0,"",SUMIFS('2020-2025时序'!$D$2:$D$439,'2020-2025时序'!$B$2:$B$439,$B49,'2020-2025时序'!$C$2:$C$439,2025))</x:f>
      </x:c>
      <x:c r="K49" s="40" t="str">
        <x:f>IF(OR(I49="",J49=""),"",POWER(J49/I49,1/5)-1)</x:f>
      </x:c>
      <x:c r="L49" s="18" t="str">
        <x:f>IF(COUNTIFS('2020-2025时序'!$B$2:$B$439,$B49,'2020-2025时序'!$C$2:$C$439,2020,'2020-2025时序'!$E$2:$E$439,"&gt;0")=0,"",SUMIFS('2020-2025时序'!$E$2:$E$439,'2020-2025时序'!$B$2:$B$439,$B49,'2020-2025时序'!$C$2:$C$439,2020))</x:f>
      </x:c>
      <x:c r="M49" s="18" t="str">
        <x:f>IF(COUNTIFS('2020-2025时序'!$B$2:$B$439,$B49,'2020-2025时序'!$C$2:$C$439,2025,'2020-2025时序'!$E$2:$E$439,"&gt;0")=0,"",SUMIFS('2020-2025时序'!$E$2:$E$439,'2020-2025时序'!$B$2:$B$439,$B49,'2020-2025时序'!$C$2:$C$439,2025))</x:f>
      </x:c>
      <x:c r="N49" s="18" t="str">
        <x:f>IF(COUNTIFS('2020-2025时序'!$B$2:$B$439,$B49,'2020-2025时序'!$C$2:$C$439,2020,'2020-2025时序'!$F$2:$F$439,"&gt;0")=0,"",SUMIFS('2020-2025时序'!$F$2:$F$439,'2020-2025时序'!$B$2:$B$439,$B49,'2020-2025时序'!$C$2:$C$439,2020))</x:f>
      </x:c>
      <x:c r="O49" s="18" t="str">
        <x:f>IF(COUNTIFS('2020-2025时序'!$B$2:$B$439,$B49,'2020-2025时序'!$C$2:$C$439,2025,'2020-2025时序'!$F$2:$F$439,"&gt;0")=0,"",SUMIFS('2020-2025时序'!$F$2:$F$439,'2020-2025时序'!$B$2:$B$439,$B49,'2020-2025时序'!$C$2:$C$439,2025))</x:f>
      </x:c>
      <x:c r="P49" s="18" t="str">
        <x:f>IF(COUNTIFS('2020-2025时序'!$B$2:$B$439,$B49,'2020-2025时序'!$C$2:$C$439,2025,'2020-2025时序'!$G$2:$G$439,"&gt;0")=0,"",SUMIFS('2020-2025时序'!$G$2:$G$439,'2020-2025时序'!$B$2:$B$439,$B49,'2020-2025时序'!$C$2:$C$439,2025))</x:f>
      </x:c>
      <x:c r="Q49" s="18" t="str">
        <x:f>IF(COUNTIFS('2020-2025时序'!$B$2:$B$439,$B49,'2020-2025时序'!$C$2:$C$439,2025,'2020-2025时序'!$H$2:$H$439,"&gt;0")=0,"",SUMIFS('2020-2025时序'!$H$2:$H$439,'2020-2025时序'!$B$2:$B$439,$B49,'2020-2025时序'!$C$2:$C$439,2025))</x:f>
      </x:c>
      <x:c r="R49" s="18" t="str">
        <x:f>IF(COUNTIFS('2020-2025时序'!$B$2:$B$439,$B49,'2020-2025时序'!$C$2:$C$439,2025,'2020-2025时序'!$L$2:$L$439,"&gt;0")=0,"",SUMIFS('2020-2025时序'!$L$2:$L$439,'2020-2025时序'!$B$2:$B$439,$B49,'2020-2025时序'!$C$2:$C$439,2025))</x:f>
      </x:c>
      <x:c r="S49" s="18" t="str">
        <x:f>IF(COUNTIFS('2020-2025时序'!$B$2:$B$439,$B49,'2020-2025时序'!$C$2:$C$439,2025,'2020-2025时序'!$J$2:$J$439,"&gt;0")=0,"",SUMIFS('2020-2025时序'!$J$2:$J$439,'2020-2025时序'!$B$2:$B$439,$B49,'2020-2025时序'!$C$2:$C$439,2025))</x:f>
      </x:c>
      <x:c r="T49" s="41" t="str">
        <x:f>IF(OR(L49="",M49=""),"",IF(OR(N49="",O49=""),MIN(100,MAX(0,-(M49/L49-1)/0.10*100)),0.7*MIN(100,MAX(0,-(M49/L49-1)/0.10*100))+0.3*MIN(100,MAX(0,-(O49/N49-1)/0.50*100))))</x:f>
      </x:c>
      <x:c r="U49" s="41" t="str">
        <x:f>IF(OR(P49="",Q49="",Q49=0),"",MIN(100,MAX(0,100*(1-P49/Q49))))</x:f>
      </x:c>
      <x:c r="V49" s="41" t="str">
        <x:f>IFERROR(MIN(100,100*SUMIFS('2020-2025时序'!$O$2:$O$439,'2020-2025时序'!$B$2:$B$439,$B49,'2020-2025时序'!$C$2:$C$439,2025)/SUMIFS('2020-2025时序'!$J$2:$J$439,'2020-2025时序'!$B$2:$B$439,$B49,'2020-2025时序'!$C$2:$C$439,2025)),"")</x:f>
      </x:c>
      <x:c r="W49" s="41" t="str">
        <x:f>IF(OR(R49="",J49="",J49=0),"",MIN(100,100*R49/J49))</x:f>
      </x:c>
      <x:c r="X49" s="41" t="str">
        <x:f>IF(OR(K49="",T49="",U49="",W49=""),"",0.25*MIN(100,MAX(20,20+K49/0.08*80))+0.20*(100-T49)+0.20*(100-U49)+0.15*G49+0.10*(100-W49)+0.10*G49)</x:f>
      </x:c>
      <x:c r="Y49" s="41" t="n">
        <x:f>ROUND(100*COUNT(I49:S49)/11,0)</x:f>
        <x:v>9</x:v>
      </x:c>
      <x:c r="Z49" s="16" t="str">
        <x:f>IF(AND(J49&lt;&gt;"",K49&gt;0,M49&lt;&gt;"",L49&lt;&gt;"",M49&lt;L49),"表面增长/人口收缩",IF(AND(U49&lt;&gt;"",U49&gt;=80),"财政高度依赖",IF(E49="收缩风险","结构性收缩风险",IF(H49&gt;=75,"单一产业集中风险",""))))</x:f>
      </x:c>
      <x:c r="AA49" s="16" t="str">
        <x:f>"详见“2020-2025时序”逐年来源URL；产业与抓手为研究判断"</x:f>
        <x:v>详见“2020-2025时序”逐年来源URL；产业与抓手为研究判断</x:v>
      </x:c>
    </x:row>
    <x:row r="50">
      <x:c r="A50" s="16" t="str">
        <x:v>宜春市</x:v>
      </x:c>
      <x:c r="B50" s="16" t="str">
        <x:v>高安市</x:v>
      </x:c>
      <x:c r="C50" s="16" t="str">
        <x:v>建筑陶瓷、物流汽运、新材料</x:v>
      </x:c>
      <x:c r="D50" s="16" t="str">
        <x:v>B+承压</x:v>
      </x:c>
      <x:c r="E50" s="16" t="str">
        <x:v>转型型</x:v>
      </x:c>
      <x:c r="F50" s="16" t="str">
        <x:v>陶瓷出清+智能制造+新能源材料</x:v>
      </x:c>
      <x:c r="G50" s="18" t="n">
        <x:v>72</x:v>
      </x:c>
      <x:c r="H50" s="18" t="n">
        <x:v>76</x:v>
      </x:c>
      <x:c r="I50" s="18" t="n">
        <x:f>IF(COUNTIFS('2020-2025时序'!$B$2:$B$439,$B50,'2020-2025时序'!$C$2:$C$439,2020,'2020-2025时序'!$D$2:$D$439,"&gt;0")=0,"",SUMIFS('2020-2025时序'!$D$2:$D$439,'2020-2025时序'!$B$2:$B$439,$B50,'2020-2025时序'!$C$2:$C$439,2020))</x:f>
        <x:v>468.4</x:v>
      </x:c>
      <x:c r="J50" s="18" t="str">
        <x:f>IF(COUNTIFS('2020-2025时序'!$B$2:$B$439,$B50,'2020-2025时序'!$C$2:$C$439,2025,'2020-2025时序'!$D$2:$D$439,"&gt;0")=0,"",SUMIFS('2020-2025时序'!$D$2:$D$439,'2020-2025时序'!$B$2:$B$439,$B50,'2020-2025时序'!$C$2:$C$439,2025))</x:f>
      </x:c>
      <x:c r="K50" s="40" t="str">
        <x:f>IF(OR(I50="",J50=""),"",POWER(J50/I50,1/5)-1)</x:f>
      </x:c>
      <x:c r="L50" s="18" t="str">
        <x:f>IF(COUNTIFS('2020-2025时序'!$B$2:$B$439,$B50,'2020-2025时序'!$C$2:$C$439,2020,'2020-2025时序'!$E$2:$E$439,"&gt;0")=0,"",SUMIFS('2020-2025时序'!$E$2:$E$439,'2020-2025时序'!$B$2:$B$439,$B50,'2020-2025时序'!$C$2:$C$439,2020))</x:f>
      </x:c>
      <x:c r="M50" s="18" t="str">
        <x:f>IF(COUNTIFS('2020-2025时序'!$B$2:$B$439,$B50,'2020-2025时序'!$C$2:$C$439,2025,'2020-2025时序'!$E$2:$E$439,"&gt;0")=0,"",SUMIFS('2020-2025时序'!$E$2:$E$439,'2020-2025时序'!$B$2:$B$439,$B50,'2020-2025时序'!$C$2:$C$439,2025))</x:f>
      </x:c>
      <x:c r="N50" s="18" t="str">
        <x:f>IF(COUNTIFS('2020-2025时序'!$B$2:$B$439,$B50,'2020-2025时序'!$C$2:$C$439,2020,'2020-2025时序'!$F$2:$F$439,"&gt;0")=0,"",SUMIFS('2020-2025时序'!$F$2:$F$439,'2020-2025时序'!$B$2:$B$439,$B50,'2020-2025时序'!$C$2:$C$439,2020))</x:f>
      </x:c>
      <x:c r="O50" s="18" t="str">
        <x:f>IF(COUNTIFS('2020-2025时序'!$B$2:$B$439,$B50,'2020-2025时序'!$C$2:$C$439,2025,'2020-2025时序'!$F$2:$F$439,"&gt;0")=0,"",SUMIFS('2020-2025时序'!$F$2:$F$439,'2020-2025时序'!$B$2:$B$439,$B50,'2020-2025时序'!$C$2:$C$439,2025))</x:f>
      </x:c>
      <x:c r="P50" s="18" t="str">
        <x:f>IF(COUNTIFS('2020-2025时序'!$B$2:$B$439,$B50,'2020-2025时序'!$C$2:$C$439,2025,'2020-2025时序'!$G$2:$G$439,"&gt;0")=0,"",SUMIFS('2020-2025时序'!$G$2:$G$439,'2020-2025时序'!$B$2:$B$439,$B50,'2020-2025时序'!$C$2:$C$439,2025))</x:f>
      </x:c>
      <x:c r="Q50" s="18" t="str">
        <x:f>IF(COUNTIFS('2020-2025时序'!$B$2:$B$439,$B50,'2020-2025时序'!$C$2:$C$439,2025,'2020-2025时序'!$H$2:$H$439,"&gt;0")=0,"",SUMIFS('2020-2025时序'!$H$2:$H$439,'2020-2025时序'!$B$2:$B$439,$B50,'2020-2025时序'!$C$2:$C$439,2025))</x:f>
      </x:c>
      <x:c r="R50" s="18" t="str">
        <x:f>IF(COUNTIFS('2020-2025时序'!$B$2:$B$439,$B50,'2020-2025时序'!$C$2:$C$439,2025,'2020-2025时序'!$L$2:$L$439,"&gt;0")=0,"",SUMIFS('2020-2025时序'!$L$2:$L$439,'2020-2025时序'!$B$2:$B$439,$B50,'2020-2025时序'!$C$2:$C$439,2025))</x:f>
      </x:c>
      <x:c r="S50" s="18" t="str">
        <x:f>IF(COUNTIFS('2020-2025时序'!$B$2:$B$439,$B50,'2020-2025时序'!$C$2:$C$439,2025,'2020-2025时序'!$J$2:$J$439,"&gt;0")=0,"",SUMIFS('2020-2025时序'!$J$2:$J$439,'2020-2025时序'!$B$2:$B$439,$B50,'2020-2025时序'!$C$2:$C$439,2025))</x:f>
      </x:c>
      <x:c r="T50" s="41" t="str">
        <x:f>IF(OR(L50="",M50=""),"",IF(OR(N50="",O50=""),MIN(100,MAX(0,-(M50/L50-1)/0.10*100)),0.7*MIN(100,MAX(0,-(M50/L50-1)/0.10*100))+0.3*MIN(100,MAX(0,-(O50/N50-1)/0.50*100))))</x:f>
      </x:c>
      <x:c r="U50" s="41" t="str">
        <x:f>IF(OR(P50="",Q50="",Q50=0),"",MIN(100,MAX(0,100*(1-P50/Q50))))</x:f>
      </x:c>
      <x:c r="V50" s="41" t="str">
        <x:f>IFERROR(MIN(100,100*SUMIFS('2020-2025时序'!$O$2:$O$439,'2020-2025时序'!$B$2:$B$439,$B50,'2020-2025时序'!$C$2:$C$439,2025)/SUMIFS('2020-2025时序'!$J$2:$J$439,'2020-2025时序'!$B$2:$B$439,$B50,'2020-2025时序'!$C$2:$C$439,2025)),"")</x:f>
      </x:c>
      <x:c r="W50" s="41" t="str">
        <x:f>IF(OR(R50="",J50="",J50=0),"",MIN(100,100*R50/J50))</x:f>
      </x:c>
      <x:c r="X50" s="41" t="str">
        <x:f>IF(OR(K50="",T50="",U50="",W50=""),"",0.25*MIN(100,MAX(20,20+K50/0.08*80))+0.20*(100-T50)+0.20*(100-U50)+0.15*G50+0.10*(100-W50)+0.10*G50)</x:f>
      </x:c>
      <x:c r="Y50" s="41" t="n">
        <x:f>ROUND(100*COUNT(I50:S50)/11,0)</x:f>
        <x:v>9</x:v>
      </x:c>
      <x:c r="Z50" s="16" t="str">
        <x:f>IF(AND(J50&lt;&gt;"",K50&gt;0,M50&lt;&gt;"",L50&lt;&gt;"",M50&lt;L50),"表面增长/人口收缩",IF(AND(U50&lt;&gt;"",U50&gt;=80),"财政高度依赖",IF(E50="收缩风险","结构性收缩风险",IF(H50&gt;=75,"单一产业集中风险",""))))</x:f>
        <x:v>单一产业集中风险</x:v>
      </x:c>
      <x:c r="AA50" s="16" t="str">
        <x:f>"详见“2020-2025时序”逐年来源URL；产业与抓手为研究判断"</x:f>
        <x:v>详见“2020-2025时序”逐年来源URL；产业与抓手为研究判断</x:v>
      </x:c>
    </x:row>
    <x:row r="51">
      <x:c r="A51" s="16" t="str">
        <x:v>宜春市</x:v>
      </x:c>
      <x:c r="B51" s="16" t="str">
        <x:v>奉新县</x:v>
      </x:c>
      <x:c r="C51" s="16" t="str">
        <x:v>锂电新能源、纺织、绿色产业</x:v>
      </x:c>
      <x:c r="D51" s="16" t="str">
        <x:v>B</x:v>
      </x:c>
      <x:c r="E51" s="16" t="str">
        <x:v>转型型</x:v>
      </x:c>
      <x:c r="F51" s="16" t="str">
        <x:v>锂产业复苏、南昌都市圈</x:v>
      </x:c>
      <x:c r="G51" s="18" t="n">
        <x:v>68</x:v>
      </x:c>
      <x:c r="H51" s="18" t="n">
        <x:v>56</x:v>
      </x:c>
      <x:c r="I51" s="18" t="str">
        <x:f>IF(COUNTIFS('2020-2025时序'!$B$2:$B$439,$B51,'2020-2025时序'!$C$2:$C$439,2020,'2020-2025时序'!$D$2:$D$439,"&gt;0")=0,"",SUMIFS('2020-2025时序'!$D$2:$D$439,'2020-2025时序'!$B$2:$B$439,$B51,'2020-2025时序'!$C$2:$C$439,2020))</x:f>
      </x:c>
      <x:c r="J51" s="18" t="str">
        <x:f>IF(COUNTIFS('2020-2025时序'!$B$2:$B$439,$B51,'2020-2025时序'!$C$2:$C$439,2025,'2020-2025时序'!$D$2:$D$439,"&gt;0")=0,"",SUMIFS('2020-2025时序'!$D$2:$D$439,'2020-2025时序'!$B$2:$B$439,$B51,'2020-2025时序'!$C$2:$C$439,2025))</x:f>
      </x:c>
      <x:c r="K51" s="40" t="str">
        <x:f>IF(OR(I51="",J51=""),"",POWER(J51/I51,1/5)-1)</x:f>
      </x:c>
      <x:c r="L51" s="18" t="str">
        <x:f>IF(COUNTIFS('2020-2025时序'!$B$2:$B$439,$B51,'2020-2025时序'!$C$2:$C$439,2020,'2020-2025时序'!$E$2:$E$439,"&gt;0")=0,"",SUMIFS('2020-2025时序'!$E$2:$E$439,'2020-2025时序'!$B$2:$B$439,$B51,'2020-2025时序'!$C$2:$C$439,2020))</x:f>
      </x:c>
      <x:c r="M51" s="18" t="str">
        <x:f>IF(COUNTIFS('2020-2025时序'!$B$2:$B$439,$B51,'2020-2025时序'!$C$2:$C$439,2025,'2020-2025时序'!$E$2:$E$439,"&gt;0")=0,"",SUMIFS('2020-2025时序'!$E$2:$E$439,'2020-2025时序'!$B$2:$B$439,$B51,'2020-2025时序'!$C$2:$C$439,2025))</x:f>
      </x:c>
      <x:c r="N51" s="18" t="str">
        <x:f>IF(COUNTIFS('2020-2025时序'!$B$2:$B$439,$B51,'2020-2025时序'!$C$2:$C$439,2020,'2020-2025时序'!$F$2:$F$439,"&gt;0")=0,"",SUMIFS('2020-2025时序'!$F$2:$F$439,'2020-2025时序'!$B$2:$B$439,$B51,'2020-2025时序'!$C$2:$C$439,2020))</x:f>
      </x:c>
      <x:c r="O51" s="18" t="str">
        <x:f>IF(COUNTIFS('2020-2025时序'!$B$2:$B$439,$B51,'2020-2025时序'!$C$2:$C$439,2025,'2020-2025时序'!$F$2:$F$439,"&gt;0")=0,"",SUMIFS('2020-2025时序'!$F$2:$F$439,'2020-2025时序'!$B$2:$B$439,$B51,'2020-2025时序'!$C$2:$C$439,2025))</x:f>
      </x:c>
      <x:c r="P51" s="18" t="str">
        <x:f>IF(COUNTIFS('2020-2025时序'!$B$2:$B$439,$B51,'2020-2025时序'!$C$2:$C$439,2025,'2020-2025时序'!$G$2:$G$439,"&gt;0")=0,"",SUMIFS('2020-2025时序'!$G$2:$G$439,'2020-2025时序'!$B$2:$B$439,$B51,'2020-2025时序'!$C$2:$C$439,2025))</x:f>
      </x:c>
      <x:c r="Q51" s="18" t="str">
        <x:f>IF(COUNTIFS('2020-2025时序'!$B$2:$B$439,$B51,'2020-2025时序'!$C$2:$C$439,2025,'2020-2025时序'!$H$2:$H$439,"&gt;0")=0,"",SUMIFS('2020-2025时序'!$H$2:$H$439,'2020-2025时序'!$B$2:$B$439,$B51,'2020-2025时序'!$C$2:$C$439,2025))</x:f>
      </x:c>
      <x:c r="R51" s="18" t="str">
        <x:f>IF(COUNTIFS('2020-2025时序'!$B$2:$B$439,$B51,'2020-2025时序'!$C$2:$C$439,2025,'2020-2025时序'!$L$2:$L$439,"&gt;0")=0,"",SUMIFS('2020-2025时序'!$L$2:$L$439,'2020-2025时序'!$B$2:$B$439,$B51,'2020-2025时序'!$C$2:$C$439,2025))</x:f>
      </x:c>
      <x:c r="S51" s="18" t="str">
        <x:f>IF(COUNTIFS('2020-2025时序'!$B$2:$B$439,$B51,'2020-2025时序'!$C$2:$C$439,2025,'2020-2025时序'!$J$2:$J$439,"&gt;0")=0,"",SUMIFS('2020-2025时序'!$J$2:$J$439,'2020-2025时序'!$B$2:$B$439,$B51,'2020-2025时序'!$C$2:$C$439,2025))</x:f>
      </x:c>
      <x:c r="T51" s="41" t="str">
        <x:f>IF(OR(L51="",M51=""),"",IF(OR(N51="",O51=""),MIN(100,MAX(0,-(M51/L51-1)/0.10*100)),0.7*MIN(100,MAX(0,-(M51/L51-1)/0.10*100))+0.3*MIN(100,MAX(0,-(O51/N51-1)/0.50*100))))</x:f>
      </x:c>
      <x:c r="U51" s="41" t="str">
        <x:f>IF(OR(P51="",Q51="",Q51=0),"",MIN(100,MAX(0,100*(1-P51/Q51))))</x:f>
      </x:c>
      <x:c r="V51" s="41" t="str">
        <x:f>IFERROR(MIN(100,100*SUMIFS('2020-2025时序'!$O$2:$O$439,'2020-2025时序'!$B$2:$B$439,$B51,'2020-2025时序'!$C$2:$C$439,2025)/SUMIFS('2020-2025时序'!$J$2:$J$439,'2020-2025时序'!$B$2:$B$439,$B51,'2020-2025时序'!$C$2:$C$439,2025)),"")</x:f>
      </x:c>
      <x:c r="W51" s="41" t="str">
        <x:f>IF(OR(R51="",J51="",J51=0),"",MIN(100,100*R51/J51))</x:f>
      </x:c>
      <x:c r="X51" s="41" t="str">
        <x:f>IF(OR(K51="",T51="",U51="",W51=""),"",0.25*MIN(100,MAX(20,20+K51/0.08*80))+0.20*(100-T51)+0.20*(100-U51)+0.15*G51+0.10*(100-W51)+0.10*G51)</x:f>
      </x:c>
      <x:c r="Y51" s="41" t="n">
        <x:f>ROUND(100*COUNT(I51:S51)/11,0)</x:f>
        <x:v>0</x:v>
      </x:c>
      <x:c r="Z51" s="16" t="str">
        <x:f>IF(AND(J51&lt;&gt;"",K51&gt;0,M51&lt;&gt;"",L51&lt;&gt;"",M51&lt;L51),"表面增长/人口收缩",IF(AND(U51&lt;&gt;"",U51&gt;=80),"财政高度依赖",IF(E51="收缩风险","结构性收缩风险",IF(H51&gt;=75,"单一产业集中风险",""))))</x:f>
      </x:c>
      <x:c r="AA51" s="16" t="str">
        <x:f>"详见“2020-2025时序”逐年来源URL；产业与抓手为研究判断"</x:f>
        <x:v>详见“2020-2025时序”逐年来源URL；产业与抓手为研究判断</x:v>
      </x:c>
    </x:row>
    <x:row r="52">
      <x:c r="A52" s="16" t="str">
        <x:v>宜春市</x:v>
      </x:c>
      <x:c r="B52" s="16" t="str">
        <x:v>万载县</x:v>
      </x:c>
      <x:c r="C52" s="16" t="str">
        <x:v>锂电、花炮、食品农业</x:v>
      </x:c>
      <x:c r="D52" s="16" t="str">
        <x:v>B</x:v>
      </x:c>
      <x:c r="E52" s="16" t="str">
        <x:v>转型型</x:v>
      </x:c>
      <x:c r="F52" s="16" t="str">
        <x:v>新能源+传统产业升级</x:v>
      </x:c>
      <x:c r="G52" s="18" t="n">
        <x:v>68</x:v>
      </x:c>
      <x:c r="H52" s="18" t="n">
        <x:v>76</x:v>
      </x:c>
      <x:c r="I52" s="18" t="str">
        <x:f>IF(COUNTIFS('2020-2025时序'!$B$2:$B$439,$B52,'2020-2025时序'!$C$2:$C$439,2020,'2020-2025时序'!$D$2:$D$439,"&gt;0")=0,"",SUMIFS('2020-2025时序'!$D$2:$D$439,'2020-2025时序'!$B$2:$B$439,$B52,'2020-2025时序'!$C$2:$C$439,2020))</x:f>
      </x:c>
      <x:c r="J52" s="18" t="str">
        <x:f>IF(COUNTIFS('2020-2025时序'!$B$2:$B$439,$B52,'2020-2025时序'!$C$2:$C$439,2025,'2020-2025时序'!$D$2:$D$439,"&gt;0")=0,"",SUMIFS('2020-2025时序'!$D$2:$D$439,'2020-2025时序'!$B$2:$B$439,$B52,'2020-2025时序'!$C$2:$C$439,2025))</x:f>
      </x:c>
      <x:c r="K52" s="40" t="str">
        <x:f>IF(OR(I52="",J52=""),"",POWER(J52/I52,1/5)-1)</x:f>
      </x:c>
      <x:c r="L52" s="18" t="str">
        <x:f>IF(COUNTIFS('2020-2025时序'!$B$2:$B$439,$B52,'2020-2025时序'!$C$2:$C$439,2020,'2020-2025时序'!$E$2:$E$439,"&gt;0")=0,"",SUMIFS('2020-2025时序'!$E$2:$E$439,'2020-2025时序'!$B$2:$B$439,$B52,'2020-2025时序'!$C$2:$C$439,2020))</x:f>
      </x:c>
      <x:c r="M52" s="18" t="str">
        <x:f>IF(COUNTIFS('2020-2025时序'!$B$2:$B$439,$B52,'2020-2025时序'!$C$2:$C$439,2025,'2020-2025时序'!$E$2:$E$439,"&gt;0")=0,"",SUMIFS('2020-2025时序'!$E$2:$E$439,'2020-2025时序'!$B$2:$B$439,$B52,'2020-2025时序'!$C$2:$C$439,2025))</x:f>
      </x:c>
      <x:c r="N52" s="18" t="str">
        <x:f>IF(COUNTIFS('2020-2025时序'!$B$2:$B$439,$B52,'2020-2025时序'!$C$2:$C$439,2020,'2020-2025时序'!$F$2:$F$439,"&gt;0")=0,"",SUMIFS('2020-2025时序'!$F$2:$F$439,'2020-2025时序'!$B$2:$B$439,$B52,'2020-2025时序'!$C$2:$C$439,2020))</x:f>
      </x:c>
      <x:c r="O52" s="18" t="str">
        <x:f>IF(COUNTIFS('2020-2025时序'!$B$2:$B$439,$B52,'2020-2025时序'!$C$2:$C$439,2025,'2020-2025时序'!$F$2:$F$439,"&gt;0")=0,"",SUMIFS('2020-2025时序'!$F$2:$F$439,'2020-2025时序'!$B$2:$B$439,$B52,'2020-2025时序'!$C$2:$C$439,2025))</x:f>
      </x:c>
      <x:c r="P52" s="18" t="str">
        <x:f>IF(COUNTIFS('2020-2025时序'!$B$2:$B$439,$B52,'2020-2025时序'!$C$2:$C$439,2025,'2020-2025时序'!$G$2:$G$439,"&gt;0")=0,"",SUMIFS('2020-2025时序'!$G$2:$G$439,'2020-2025时序'!$B$2:$B$439,$B52,'2020-2025时序'!$C$2:$C$439,2025))</x:f>
      </x:c>
      <x:c r="Q52" s="18" t="str">
        <x:f>IF(COUNTIFS('2020-2025时序'!$B$2:$B$439,$B52,'2020-2025时序'!$C$2:$C$439,2025,'2020-2025时序'!$H$2:$H$439,"&gt;0")=0,"",SUMIFS('2020-2025时序'!$H$2:$H$439,'2020-2025时序'!$B$2:$B$439,$B52,'2020-2025时序'!$C$2:$C$439,2025))</x:f>
      </x:c>
      <x:c r="R52" s="18" t="str">
        <x:f>IF(COUNTIFS('2020-2025时序'!$B$2:$B$439,$B52,'2020-2025时序'!$C$2:$C$439,2025,'2020-2025时序'!$L$2:$L$439,"&gt;0")=0,"",SUMIFS('2020-2025时序'!$L$2:$L$439,'2020-2025时序'!$B$2:$B$439,$B52,'2020-2025时序'!$C$2:$C$439,2025))</x:f>
      </x:c>
      <x:c r="S52" s="18" t="str">
        <x:f>IF(COUNTIFS('2020-2025时序'!$B$2:$B$439,$B52,'2020-2025时序'!$C$2:$C$439,2025,'2020-2025时序'!$J$2:$J$439,"&gt;0")=0,"",SUMIFS('2020-2025时序'!$J$2:$J$439,'2020-2025时序'!$B$2:$B$439,$B52,'2020-2025时序'!$C$2:$C$439,2025))</x:f>
      </x:c>
      <x:c r="T52" s="41" t="str">
        <x:f>IF(OR(L52="",M52=""),"",IF(OR(N52="",O52=""),MIN(100,MAX(0,-(M52/L52-1)/0.10*100)),0.7*MIN(100,MAX(0,-(M52/L52-1)/0.10*100))+0.3*MIN(100,MAX(0,-(O52/N52-1)/0.50*100))))</x:f>
      </x:c>
      <x:c r="U52" s="41" t="str">
        <x:f>IF(OR(P52="",Q52="",Q52=0),"",MIN(100,MAX(0,100*(1-P52/Q52))))</x:f>
      </x:c>
      <x:c r="V52" s="41" t="str">
        <x:f>IFERROR(MIN(100,100*SUMIFS('2020-2025时序'!$O$2:$O$439,'2020-2025时序'!$B$2:$B$439,$B52,'2020-2025时序'!$C$2:$C$439,2025)/SUMIFS('2020-2025时序'!$J$2:$J$439,'2020-2025时序'!$B$2:$B$439,$B52,'2020-2025时序'!$C$2:$C$439,2025)),"")</x:f>
      </x:c>
      <x:c r="W52" s="41" t="str">
        <x:f>IF(OR(R52="",J52="",J52=0),"",MIN(100,100*R52/J52))</x:f>
      </x:c>
      <x:c r="X52" s="41" t="str">
        <x:f>IF(OR(K52="",T52="",U52="",W52=""),"",0.25*MIN(100,MAX(20,20+K52/0.08*80))+0.20*(100-T52)+0.20*(100-U52)+0.15*G52+0.10*(100-W52)+0.10*G52)</x:f>
      </x:c>
      <x:c r="Y52" s="41" t="n">
        <x:f>ROUND(100*COUNT(I52:S52)/11,0)</x:f>
        <x:v>0</x:v>
      </x:c>
      <x:c r="Z52" s="16" t="str">
        <x:f>IF(AND(J52&lt;&gt;"",K52&gt;0,M52&lt;&gt;"",L52&lt;&gt;"",M52&lt;L52),"表面增长/人口收缩",IF(AND(U52&lt;&gt;"",U52&gt;=80),"财政高度依赖",IF(E52="收缩风险","结构性收缩风险",IF(H52&gt;=75,"单一产业集中风险",""))))</x:f>
        <x:v>单一产业集中风险</x:v>
      </x:c>
      <x:c r="AA52" s="16" t="str">
        <x:f>"详见“2020-2025时序”逐年来源URL；产业与抓手为研究判断"</x:f>
        <x:v>详见“2020-2025时序”逐年来源URL；产业与抓手为研究判断</x:v>
      </x:c>
    </x:row>
    <x:row r="53">
      <x:c r="A53" s="16" t="str">
        <x:v>宜春市</x:v>
      </x:c>
      <x:c r="B53" s="16" t="str">
        <x:v>上高县</x:v>
      </x:c>
      <x:c r="C53" s="16" t="str">
        <x:v>新能源、新材料、鞋服</x:v>
      </x:c>
      <x:c r="D53" s="16" t="str">
        <x:v>B+</x:v>
      </x:c>
      <x:c r="E53" s="16" t="str">
        <x:v>转型增长型</x:v>
      </x:c>
      <x:c r="F53" s="16" t="str">
        <x:v>锂电材料、制造升级</x:v>
      </x:c>
      <x:c r="G53" s="18" t="n">
        <x:v>77</x:v>
      </x:c>
      <x:c r="H53" s="18" t="n">
        <x:v>56</x:v>
      </x:c>
      <x:c r="I53" s="18" t="str">
        <x:f>IF(COUNTIFS('2020-2025时序'!$B$2:$B$439,$B53,'2020-2025时序'!$C$2:$C$439,2020,'2020-2025时序'!$D$2:$D$439,"&gt;0")=0,"",SUMIFS('2020-2025时序'!$D$2:$D$439,'2020-2025时序'!$B$2:$B$439,$B53,'2020-2025时序'!$C$2:$C$439,2020))</x:f>
      </x:c>
      <x:c r="J53" s="18" t="str">
        <x:f>IF(COUNTIFS('2020-2025时序'!$B$2:$B$439,$B53,'2020-2025时序'!$C$2:$C$439,2025,'2020-2025时序'!$D$2:$D$439,"&gt;0")=0,"",SUMIFS('2020-2025时序'!$D$2:$D$439,'2020-2025时序'!$B$2:$B$439,$B53,'2020-2025时序'!$C$2:$C$439,2025))</x:f>
      </x:c>
      <x:c r="K53" s="40" t="str">
        <x:f>IF(OR(I53="",J53=""),"",POWER(J53/I53,1/5)-1)</x:f>
      </x:c>
      <x:c r="L53" s="18" t="str">
        <x:f>IF(COUNTIFS('2020-2025时序'!$B$2:$B$439,$B53,'2020-2025时序'!$C$2:$C$439,2020,'2020-2025时序'!$E$2:$E$439,"&gt;0")=0,"",SUMIFS('2020-2025时序'!$E$2:$E$439,'2020-2025时序'!$B$2:$B$439,$B53,'2020-2025时序'!$C$2:$C$439,2020))</x:f>
      </x:c>
      <x:c r="M53" s="18" t="str">
        <x:f>IF(COUNTIFS('2020-2025时序'!$B$2:$B$439,$B53,'2020-2025时序'!$C$2:$C$439,2025,'2020-2025时序'!$E$2:$E$439,"&gt;0")=0,"",SUMIFS('2020-2025时序'!$E$2:$E$439,'2020-2025时序'!$B$2:$B$439,$B53,'2020-2025时序'!$C$2:$C$439,2025))</x:f>
      </x:c>
      <x:c r="N53" s="18" t="str">
        <x:f>IF(COUNTIFS('2020-2025时序'!$B$2:$B$439,$B53,'2020-2025时序'!$C$2:$C$439,2020,'2020-2025时序'!$F$2:$F$439,"&gt;0")=0,"",SUMIFS('2020-2025时序'!$F$2:$F$439,'2020-2025时序'!$B$2:$B$439,$B53,'2020-2025时序'!$C$2:$C$439,2020))</x:f>
      </x:c>
      <x:c r="O53" s="18" t="str">
        <x:f>IF(COUNTIFS('2020-2025时序'!$B$2:$B$439,$B53,'2020-2025时序'!$C$2:$C$439,2025,'2020-2025时序'!$F$2:$F$439,"&gt;0")=0,"",SUMIFS('2020-2025时序'!$F$2:$F$439,'2020-2025时序'!$B$2:$B$439,$B53,'2020-2025时序'!$C$2:$C$439,2025))</x:f>
      </x:c>
      <x:c r="P53" s="18" t="str">
        <x:f>IF(COUNTIFS('2020-2025时序'!$B$2:$B$439,$B53,'2020-2025时序'!$C$2:$C$439,2025,'2020-2025时序'!$G$2:$G$439,"&gt;0")=0,"",SUMIFS('2020-2025时序'!$G$2:$G$439,'2020-2025时序'!$B$2:$B$439,$B53,'2020-2025时序'!$C$2:$C$439,2025))</x:f>
      </x:c>
      <x:c r="Q53" s="18" t="str">
        <x:f>IF(COUNTIFS('2020-2025时序'!$B$2:$B$439,$B53,'2020-2025时序'!$C$2:$C$439,2025,'2020-2025时序'!$H$2:$H$439,"&gt;0")=0,"",SUMIFS('2020-2025时序'!$H$2:$H$439,'2020-2025时序'!$B$2:$B$439,$B53,'2020-2025时序'!$C$2:$C$439,2025))</x:f>
      </x:c>
      <x:c r="R53" s="18" t="str">
        <x:f>IF(COUNTIFS('2020-2025时序'!$B$2:$B$439,$B53,'2020-2025时序'!$C$2:$C$439,2025,'2020-2025时序'!$L$2:$L$439,"&gt;0")=0,"",SUMIFS('2020-2025时序'!$L$2:$L$439,'2020-2025时序'!$B$2:$B$439,$B53,'2020-2025时序'!$C$2:$C$439,2025))</x:f>
      </x:c>
      <x:c r="S53" s="18" t="str">
        <x:f>IF(COUNTIFS('2020-2025时序'!$B$2:$B$439,$B53,'2020-2025时序'!$C$2:$C$439,2025,'2020-2025时序'!$J$2:$J$439,"&gt;0")=0,"",SUMIFS('2020-2025时序'!$J$2:$J$439,'2020-2025时序'!$B$2:$B$439,$B53,'2020-2025时序'!$C$2:$C$439,2025))</x:f>
      </x:c>
      <x:c r="T53" s="41" t="str">
        <x:f>IF(OR(L53="",M53=""),"",IF(OR(N53="",O53=""),MIN(100,MAX(0,-(M53/L53-1)/0.10*100)),0.7*MIN(100,MAX(0,-(M53/L53-1)/0.10*100))+0.3*MIN(100,MAX(0,-(O53/N53-1)/0.50*100))))</x:f>
      </x:c>
      <x:c r="U53" s="41" t="str">
        <x:f>IF(OR(P53="",Q53="",Q53=0),"",MIN(100,MAX(0,100*(1-P53/Q53))))</x:f>
      </x:c>
      <x:c r="V53" s="41" t="str">
        <x:f>IFERROR(MIN(100,100*SUMIFS('2020-2025时序'!$O$2:$O$439,'2020-2025时序'!$B$2:$B$439,$B53,'2020-2025时序'!$C$2:$C$439,2025)/SUMIFS('2020-2025时序'!$J$2:$J$439,'2020-2025时序'!$B$2:$B$439,$B53,'2020-2025时序'!$C$2:$C$439,2025)),"")</x:f>
      </x:c>
      <x:c r="W53" s="41" t="str">
        <x:f>IF(OR(R53="",J53="",J53=0),"",MIN(100,100*R53/J53))</x:f>
      </x:c>
      <x:c r="X53" s="41" t="str">
        <x:f>IF(OR(K53="",T53="",U53="",W53=""),"",0.25*MIN(100,MAX(20,20+K53/0.08*80))+0.20*(100-T53)+0.20*(100-U53)+0.15*G53+0.10*(100-W53)+0.10*G53)</x:f>
      </x:c>
      <x:c r="Y53" s="41" t="n">
        <x:f>ROUND(100*COUNT(I53:S53)/11,0)</x:f>
        <x:v>0</x:v>
      </x:c>
      <x:c r="Z53" s="16" t="str">
        <x:f>IF(AND(J53&lt;&gt;"",K53&gt;0,M53&lt;&gt;"",L53&lt;&gt;"",M53&lt;L53),"表面增长/人口收缩",IF(AND(U53&lt;&gt;"",U53&gt;=80),"财政高度依赖",IF(E53="收缩风险","结构性收缩风险",IF(H53&gt;=75,"单一产业集中风险",""))))</x:f>
      </x:c>
      <x:c r="AA53" s="16" t="str">
        <x:f>"详见“2020-2025时序”逐年来源URL；产业与抓手为研究判断"</x:f>
        <x:v>详见“2020-2025时序”逐年来源URL；产业与抓手为研究判断</x:v>
      </x:c>
    </x:row>
    <x:row r="54">
      <x:c r="A54" s="16" t="str">
        <x:v>宜春市</x:v>
      </x:c>
      <x:c r="B54" s="16" t="str">
        <x:v>宜丰县</x:v>
      </x:c>
      <x:c r="C54" s="16" t="str">
        <x:v>锂电、竹木、食品、新材料</x:v>
      </x:c>
      <x:c r="D54" s="16" t="str">
        <x:v>B</x:v>
      </x:c>
      <x:c r="E54" s="16" t="str">
        <x:v>转型型</x:v>
      </x:c>
      <x:c r="F54" s="16" t="str">
        <x:v>锂资源下游化、绿色产业</x:v>
      </x:c>
      <x:c r="G54" s="18" t="n">
        <x:v>68</x:v>
      </x:c>
      <x:c r="H54" s="18" t="n">
        <x:v>46</x:v>
      </x:c>
      <x:c r="I54" s="18" t="str">
        <x:f>IF(COUNTIFS('2020-2025时序'!$B$2:$B$439,$B54,'2020-2025时序'!$C$2:$C$439,2020,'2020-2025时序'!$D$2:$D$439,"&gt;0")=0,"",SUMIFS('2020-2025时序'!$D$2:$D$439,'2020-2025时序'!$B$2:$B$439,$B54,'2020-2025时序'!$C$2:$C$439,2020))</x:f>
      </x:c>
      <x:c r="J54" s="18" t="str">
        <x:f>IF(COUNTIFS('2020-2025时序'!$B$2:$B$439,$B54,'2020-2025时序'!$C$2:$C$439,2025,'2020-2025时序'!$D$2:$D$439,"&gt;0")=0,"",SUMIFS('2020-2025时序'!$D$2:$D$439,'2020-2025时序'!$B$2:$B$439,$B54,'2020-2025时序'!$C$2:$C$439,2025))</x:f>
      </x:c>
      <x:c r="K54" s="40" t="str">
        <x:f>IF(OR(I54="",J54=""),"",POWER(J54/I54,1/5)-1)</x:f>
      </x:c>
      <x:c r="L54" s="18" t="str">
        <x:f>IF(COUNTIFS('2020-2025时序'!$B$2:$B$439,$B54,'2020-2025时序'!$C$2:$C$439,2020,'2020-2025时序'!$E$2:$E$439,"&gt;0")=0,"",SUMIFS('2020-2025时序'!$E$2:$E$439,'2020-2025时序'!$B$2:$B$439,$B54,'2020-2025时序'!$C$2:$C$439,2020))</x:f>
      </x:c>
      <x:c r="M54" s="18" t="str">
        <x:f>IF(COUNTIFS('2020-2025时序'!$B$2:$B$439,$B54,'2020-2025时序'!$C$2:$C$439,2025,'2020-2025时序'!$E$2:$E$439,"&gt;0")=0,"",SUMIFS('2020-2025时序'!$E$2:$E$439,'2020-2025时序'!$B$2:$B$439,$B54,'2020-2025时序'!$C$2:$C$439,2025))</x:f>
      </x:c>
      <x:c r="N54" s="18" t="str">
        <x:f>IF(COUNTIFS('2020-2025时序'!$B$2:$B$439,$B54,'2020-2025时序'!$C$2:$C$439,2020,'2020-2025时序'!$F$2:$F$439,"&gt;0")=0,"",SUMIFS('2020-2025时序'!$F$2:$F$439,'2020-2025时序'!$B$2:$B$439,$B54,'2020-2025时序'!$C$2:$C$439,2020))</x:f>
      </x:c>
      <x:c r="O54" s="18" t="str">
        <x:f>IF(COUNTIFS('2020-2025时序'!$B$2:$B$439,$B54,'2020-2025时序'!$C$2:$C$439,2025,'2020-2025时序'!$F$2:$F$439,"&gt;0")=0,"",SUMIFS('2020-2025时序'!$F$2:$F$439,'2020-2025时序'!$B$2:$B$439,$B54,'2020-2025时序'!$C$2:$C$439,2025))</x:f>
      </x:c>
      <x:c r="P54" s="18" t="str">
        <x:f>IF(COUNTIFS('2020-2025时序'!$B$2:$B$439,$B54,'2020-2025时序'!$C$2:$C$439,2025,'2020-2025时序'!$G$2:$G$439,"&gt;0")=0,"",SUMIFS('2020-2025时序'!$G$2:$G$439,'2020-2025时序'!$B$2:$B$439,$B54,'2020-2025时序'!$C$2:$C$439,2025))</x:f>
      </x:c>
      <x:c r="Q54" s="18" t="str">
        <x:f>IF(COUNTIFS('2020-2025时序'!$B$2:$B$439,$B54,'2020-2025时序'!$C$2:$C$439,2025,'2020-2025时序'!$H$2:$H$439,"&gt;0")=0,"",SUMIFS('2020-2025时序'!$H$2:$H$439,'2020-2025时序'!$B$2:$B$439,$B54,'2020-2025时序'!$C$2:$C$439,2025))</x:f>
      </x:c>
      <x:c r="R54" s="18" t="str">
        <x:f>IF(COUNTIFS('2020-2025时序'!$B$2:$B$439,$B54,'2020-2025时序'!$C$2:$C$439,2025,'2020-2025时序'!$L$2:$L$439,"&gt;0")=0,"",SUMIFS('2020-2025时序'!$L$2:$L$439,'2020-2025时序'!$B$2:$B$439,$B54,'2020-2025时序'!$C$2:$C$439,2025))</x:f>
      </x:c>
      <x:c r="S54" s="18" t="str">
        <x:f>IF(COUNTIFS('2020-2025时序'!$B$2:$B$439,$B54,'2020-2025时序'!$C$2:$C$439,2025,'2020-2025时序'!$J$2:$J$439,"&gt;0")=0,"",SUMIFS('2020-2025时序'!$J$2:$J$439,'2020-2025时序'!$B$2:$B$439,$B54,'2020-2025时序'!$C$2:$C$439,2025))</x:f>
      </x:c>
      <x:c r="T54" s="41" t="str">
        <x:f>IF(OR(L54="",M54=""),"",IF(OR(N54="",O54=""),MIN(100,MAX(0,-(M54/L54-1)/0.10*100)),0.7*MIN(100,MAX(0,-(M54/L54-1)/0.10*100))+0.3*MIN(100,MAX(0,-(O54/N54-1)/0.50*100))))</x:f>
      </x:c>
      <x:c r="U54" s="41" t="str">
        <x:f>IF(OR(P54="",Q54="",Q54=0),"",MIN(100,MAX(0,100*(1-P54/Q54))))</x:f>
      </x:c>
      <x:c r="V54" s="41" t="str">
        <x:f>IFERROR(MIN(100,100*SUMIFS('2020-2025时序'!$O$2:$O$439,'2020-2025时序'!$B$2:$B$439,$B54,'2020-2025时序'!$C$2:$C$439,2025)/SUMIFS('2020-2025时序'!$J$2:$J$439,'2020-2025时序'!$B$2:$B$439,$B54,'2020-2025时序'!$C$2:$C$439,2025)),"")</x:f>
      </x:c>
      <x:c r="W54" s="41" t="str">
        <x:f>IF(OR(R54="",J54="",J54=0),"",MIN(100,100*R54/J54))</x:f>
      </x:c>
      <x:c r="X54" s="41" t="str">
        <x:f>IF(OR(K54="",T54="",U54="",W54=""),"",0.25*MIN(100,MAX(20,20+K54/0.08*80))+0.20*(100-T54)+0.20*(100-U54)+0.15*G54+0.10*(100-W54)+0.10*G54)</x:f>
      </x:c>
      <x:c r="Y54" s="41" t="n">
        <x:f>ROUND(100*COUNT(I54:S54)/11,0)</x:f>
        <x:v>0</x:v>
      </x:c>
      <x:c r="Z54" s="16" t="str">
        <x:f>IF(AND(J54&lt;&gt;"",K54&gt;0,M54&lt;&gt;"",L54&lt;&gt;"",M54&lt;L54),"表面增长/人口收缩",IF(AND(U54&lt;&gt;"",U54&gt;=80),"财政高度依赖",IF(E54="收缩风险","结构性收缩风险",IF(H54&gt;=75,"单一产业集中风险",""))))</x:f>
      </x:c>
      <x:c r="AA54" s="16" t="str">
        <x:f>"详见“2020-2025时序”逐年来源URL；产业与抓手为研究判断"</x:f>
        <x:v>详见“2020-2025时序”逐年来源URL；产业与抓手为研究判断</x:v>
      </x:c>
    </x:row>
    <x:row r="55">
      <x:c r="A55" s="16" t="str">
        <x:v>宜春市</x:v>
      </x:c>
      <x:c r="B55" s="16" t="str">
        <x:v>靖安县</x:v>
      </x:c>
      <x:c r="C55" s="16" t="str">
        <x:v>生态旅游、大健康、绿色农业</x:v>
      </x:c>
      <x:c r="D55" s="16" t="str">
        <x:v>C+</x:v>
      </x:c>
      <x:c r="E55" s="16" t="str">
        <x:v>承压型</x:v>
      </x:c>
      <x:c r="F55" s="16" t="str">
        <x:v>南昌后花园、康养</x:v>
      </x:c>
      <x:c r="G55" s="18" t="n">
        <x:v>58</x:v>
      </x:c>
      <x:c r="H55" s="18" t="n">
        <x:v>56</x:v>
      </x:c>
      <x:c r="I55" s="18" t="str">
        <x:f>IF(COUNTIFS('2020-2025时序'!$B$2:$B$439,$B55,'2020-2025时序'!$C$2:$C$439,2020,'2020-2025时序'!$D$2:$D$439,"&gt;0")=0,"",SUMIFS('2020-2025时序'!$D$2:$D$439,'2020-2025时序'!$B$2:$B$439,$B55,'2020-2025时序'!$C$2:$C$439,2020))</x:f>
      </x:c>
      <x:c r="J55" s="18" t="str">
        <x:f>IF(COUNTIFS('2020-2025时序'!$B$2:$B$439,$B55,'2020-2025时序'!$C$2:$C$439,2025,'2020-2025时序'!$D$2:$D$439,"&gt;0")=0,"",SUMIFS('2020-2025时序'!$D$2:$D$439,'2020-2025时序'!$B$2:$B$439,$B55,'2020-2025时序'!$C$2:$C$439,2025))</x:f>
      </x:c>
      <x:c r="K55" s="40" t="str">
        <x:f>IF(OR(I55="",J55=""),"",POWER(J55/I55,1/5)-1)</x:f>
      </x:c>
      <x:c r="L55" s="18" t="str">
        <x:f>IF(COUNTIFS('2020-2025时序'!$B$2:$B$439,$B55,'2020-2025时序'!$C$2:$C$439,2020,'2020-2025时序'!$E$2:$E$439,"&gt;0")=0,"",SUMIFS('2020-2025时序'!$E$2:$E$439,'2020-2025时序'!$B$2:$B$439,$B55,'2020-2025时序'!$C$2:$C$439,2020))</x:f>
      </x:c>
      <x:c r="M55" s="18" t="str">
        <x:f>IF(COUNTIFS('2020-2025时序'!$B$2:$B$439,$B55,'2020-2025时序'!$C$2:$C$439,2025,'2020-2025时序'!$E$2:$E$439,"&gt;0")=0,"",SUMIFS('2020-2025时序'!$E$2:$E$439,'2020-2025时序'!$B$2:$B$439,$B55,'2020-2025时序'!$C$2:$C$439,2025))</x:f>
      </x:c>
      <x:c r="N55" s="18" t="str">
        <x:f>IF(COUNTIFS('2020-2025时序'!$B$2:$B$439,$B55,'2020-2025时序'!$C$2:$C$439,2020,'2020-2025时序'!$F$2:$F$439,"&gt;0")=0,"",SUMIFS('2020-2025时序'!$F$2:$F$439,'2020-2025时序'!$B$2:$B$439,$B55,'2020-2025时序'!$C$2:$C$439,2020))</x:f>
      </x:c>
      <x:c r="O55" s="18" t="str">
        <x:f>IF(COUNTIFS('2020-2025时序'!$B$2:$B$439,$B55,'2020-2025时序'!$C$2:$C$439,2025,'2020-2025时序'!$F$2:$F$439,"&gt;0")=0,"",SUMIFS('2020-2025时序'!$F$2:$F$439,'2020-2025时序'!$B$2:$B$439,$B55,'2020-2025时序'!$C$2:$C$439,2025))</x:f>
      </x:c>
      <x:c r="P55" s="18" t="str">
        <x:f>IF(COUNTIFS('2020-2025时序'!$B$2:$B$439,$B55,'2020-2025时序'!$C$2:$C$439,2025,'2020-2025时序'!$G$2:$G$439,"&gt;0")=0,"",SUMIFS('2020-2025时序'!$G$2:$G$439,'2020-2025时序'!$B$2:$B$439,$B55,'2020-2025时序'!$C$2:$C$439,2025))</x:f>
      </x:c>
      <x:c r="Q55" s="18" t="str">
        <x:f>IF(COUNTIFS('2020-2025时序'!$B$2:$B$439,$B55,'2020-2025时序'!$C$2:$C$439,2025,'2020-2025时序'!$H$2:$H$439,"&gt;0")=0,"",SUMIFS('2020-2025时序'!$H$2:$H$439,'2020-2025时序'!$B$2:$B$439,$B55,'2020-2025时序'!$C$2:$C$439,2025))</x:f>
      </x:c>
      <x:c r="R55" s="18" t="str">
        <x:f>IF(COUNTIFS('2020-2025时序'!$B$2:$B$439,$B55,'2020-2025时序'!$C$2:$C$439,2025,'2020-2025时序'!$L$2:$L$439,"&gt;0")=0,"",SUMIFS('2020-2025时序'!$L$2:$L$439,'2020-2025时序'!$B$2:$B$439,$B55,'2020-2025时序'!$C$2:$C$439,2025))</x:f>
      </x:c>
      <x:c r="S55" s="18" t="str">
        <x:f>IF(COUNTIFS('2020-2025时序'!$B$2:$B$439,$B55,'2020-2025时序'!$C$2:$C$439,2025,'2020-2025时序'!$J$2:$J$439,"&gt;0")=0,"",SUMIFS('2020-2025时序'!$J$2:$J$439,'2020-2025时序'!$B$2:$B$439,$B55,'2020-2025时序'!$C$2:$C$439,2025))</x:f>
      </x:c>
      <x:c r="T55" s="41" t="str">
        <x:f>IF(OR(L55="",M55=""),"",IF(OR(N55="",O55=""),MIN(100,MAX(0,-(M55/L55-1)/0.10*100)),0.7*MIN(100,MAX(0,-(M55/L55-1)/0.10*100))+0.3*MIN(100,MAX(0,-(O55/N55-1)/0.50*100))))</x:f>
      </x:c>
      <x:c r="U55" s="41" t="str">
        <x:f>IF(OR(P55="",Q55="",Q55=0),"",MIN(100,MAX(0,100*(1-P55/Q55))))</x:f>
      </x:c>
      <x:c r="V55" s="41" t="str">
        <x:f>IFERROR(MIN(100,100*SUMIFS('2020-2025时序'!$O$2:$O$439,'2020-2025时序'!$B$2:$B$439,$B55,'2020-2025时序'!$C$2:$C$439,2025)/SUMIFS('2020-2025时序'!$J$2:$J$439,'2020-2025时序'!$B$2:$B$439,$B55,'2020-2025时序'!$C$2:$C$439,2025)),"")</x:f>
      </x:c>
      <x:c r="W55" s="41" t="str">
        <x:f>IF(OR(R55="",J55="",J55=0),"",MIN(100,100*R55/J55))</x:f>
      </x:c>
      <x:c r="X55" s="41" t="str">
        <x:f>IF(OR(K55="",T55="",U55="",W55=""),"",0.25*MIN(100,MAX(20,20+K55/0.08*80))+0.20*(100-T55)+0.20*(100-U55)+0.15*G55+0.10*(100-W55)+0.10*G55)</x:f>
      </x:c>
      <x:c r="Y55" s="41" t="n">
        <x:f>ROUND(100*COUNT(I55:S55)/11,0)</x:f>
        <x:v>0</x:v>
      </x:c>
      <x:c r="Z55" s="16" t="str">
        <x:f>IF(AND(J55&lt;&gt;"",K55&gt;0,M55&lt;&gt;"",L55&lt;&gt;"",M55&lt;L55),"表面增长/人口收缩",IF(AND(U55&lt;&gt;"",U55&gt;=80),"财政高度依赖",IF(E55="收缩风险","结构性收缩风险",IF(H55&gt;=75,"单一产业集中风险",""))))</x:f>
      </x:c>
      <x:c r="AA55" s="16" t="str">
        <x:f>"详见“2020-2025时序”逐年来源URL；产业与抓手为研究判断"</x:f>
        <x:v>详见“2020-2025时序”逐年来源URL；产业与抓手为研究判断</x:v>
      </x:c>
    </x:row>
    <x:row r="56">
      <x:c r="A56" s="16" t="str">
        <x:v>宜春市</x:v>
      </x:c>
      <x:c r="B56" s="16" t="str">
        <x:v>铜鼓县</x:v>
      </x:c>
      <x:c r="C56" s="16" t="str">
        <x:v>生态旅游、绿色食品、林业</x:v>
      </x:c>
      <x:c r="D56" s="16" t="str">
        <x:v>C/D</x:v>
      </x:c>
      <x:c r="E56" s="16" t="str">
        <x:v>收缩风险</x:v>
      </x:c>
      <x:c r="F56" s="16" t="str">
        <x:v>文旅、康养、生态产品</x:v>
      </x:c>
      <x:c r="G56" s="18" t="n">
        <x:v>44</x:v>
      </x:c>
      <x:c r="H56" s="18" t="n">
        <x:v>56</x:v>
      </x:c>
      <x:c r="I56" s="18" t="str">
        <x:f>IF(COUNTIFS('2020-2025时序'!$B$2:$B$439,$B56,'2020-2025时序'!$C$2:$C$439,2020,'2020-2025时序'!$D$2:$D$439,"&gt;0")=0,"",SUMIFS('2020-2025时序'!$D$2:$D$439,'2020-2025时序'!$B$2:$B$439,$B56,'2020-2025时序'!$C$2:$C$439,2020))</x:f>
      </x:c>
      <x:c r="J56" s="18" t="str">
        <x:f>IF(COUNTIFS('2020-2025时序'!$B$2:$B$439,$B56,'2020-2025时序'!$C$2:$C$439,2025,'2020-2025时序'!$D$2:$D$439,"&gt;0")=0,"",SUMIFS('2020-2025时序'!$D$2:$D$439,'2020-2025时序'!$B$2:$B$439,$B56,'2020-2025时序'!$C$2:$C$439,2025))</x:f>
      </x:c>
      <x:c r="K56" s="40" t="str">
        <x:f>IF(OR(I56="",J56=""),"",POWER(J56/I56,1/5)-1)</x:f>
      </x:c>
      <x:c r="L56" s="18" t="str">
        <x:f>IF(COUNTIFS('2020-2025时序'!$B$2:$B$439,$B56,'2020-2025时序'!$C$2:$C$439,2020,'2020-2025时序'!$E$2:$E$439,"&gt;0")=0,"",SUMIFS('2020-2025时序'!$E$2:$E$439,'2020-2025时序'!$B$2:$B$439,$B56,'2020-2025时序'!$C$2:$C$439,2020))</x:f>
      </x:c>
      <x:c r="M56" s="18" t="str">
        <x:f>IF(COUNTIFS('2020-2025时序'!$B$2:$B$439,$B56,'2020-2025时序'!$C$2:$C$439,2025,'2020-2025时序'!$E$2:$E$439,"&gt;0")=0,"",SUMIFS('2020-2025时序'!$E$2:$E$439,'2020-2025时序'!$B$2:$B$439,$B56,'2020-2025时序'!$C$2:$C$439,2025))</x:f>
      </x:c>
      <x:c r="N56" s="18" t="str">
        <x:f>IF(COUNTIFS('2020-2025时序'!$B$2:$B$439,$B56,'2020-2025时序'!$C$2:$C$439,2020,'2020-2025时序'!$F$2:$F$439,"&gt;0")=0,"",SUMIFS('2020-2025时序'!$F$2:$F$439,'2020-2025时序'!$B$2:$B$439,$B56,'2020-2025时序'!$C$2:$C$439,2020))</x:f>
      </x:c>
      <x:c r="O56" s="18" t="str">
        <x:f>IF(COUNTIFS('2020-2025时序'!$B$2:$B$439,$B56,'2020-2025时序'!$C$2:$C$439,2025,'2020-2025时序'!$F$2:$F$439,"&gt;0")=0,"",SUMIFS('2020-2025时序'!$F$2:$F$439,'2020-2025时序'!$B$2:$B$439,$B56,'2020-2025时序'!$C$2:$C$439,2025))</x:f>
      </x:c>
      <x:c r="P56" s="18" t="str">
        <x:f>IF(COUNTIFS('2020-2025时序'!$B$2:$B$439,$B56,'2020-2025时序'!$C$2:$C$439,2025,'2020-2025时序'!$G$2:$G$439,"&gt;0")=0,"",SUMIFS('2020-2025时序'!$G$2:$G$439,'2020-2025时序'!$B$2:$B$439,$B56,'2020-2025时序'!$C$2:$C$439,2025))</x:f>
      </x:c>
      <x:c r="Q56" s="18" t="str">
        <x:f>IF(COUNTIFS('2020-2025时序'!$B$2:$B$439,$B56,'2020-2025时序'!$C$2:$C$439,2025,'2020-2025时序'!$H$2:$H$439,"&gt;0")=0,"",SUMIFS('2020-2025时序'!$H$2:$H$439,'2020-2025时序'!$B$2:$B$439,$B56,'2020-2025时序'!$C$2:$C$439,2025))</x:f>
      </x:c>
      <x:c r="R56" s="18" t="str">
        <x:f>IF(COUNTIFS('2020-2025时序'!$B$2:$B$439,$B56,'2020-2025时序'!$C$2:$C$439,2025,'2020-2025时序'!$L$2:$L$439,"&gt;0")=0,"",SUMIFS('2020-2025时序'!$L$2:$L$439,'2020-2025时序'!$B$2:$B$439,$B56,'2020-2025时序'!$C$2:$C$439,2025))</x:f>
      </x:c>
      <x:c r="S56" s="18" t="str">
        <x:f>IF(COUNTIFS('2020-2025时序'!$B$2:$B$439,$B56,'2020-2025时序'!$C$2:$C$439,2025,'2020-2025时序'!$J$2:$J$439,"&gt;0")=0,"",SUMIFS('2020-2025时序'!$J$2:$J$439,'2020-2025时序'!$B$2:$B$439,$B56,'2020-2025时序'!$C$2:$C$439,2025))</x:f>
      </x:c>
      <x:c r="T56" s="41" t="str">
        <x:f>IF(OR(L56="",M56=""),"",IF(OR(N56="",O56=""),MIN(100,MAX(0,-(M56/L56-1)/0.10*100)),0.7*MIN(100,MAX(0,-(M56/L56-1)/0.10*100))+0.3*MIN(100,MAX(0,-(O56/N56-1)/0.50*100))))</x:f>
      </x:c>
      <x:c r="U56" s="41" t="str">
        <x:f>IF(OR(P56="",Q56="",Q56=0),"",MIN(100,MAX(0,100*(1-P56/Q56))))</x:f>
      </x:c>
      <x:c r="V56" s="41" t="str">
        <x:f>IFERROR(MIN(100,100*SUMIFS('2020-2025时序'!$O$2:$O$439,'2020-2025时序'!$B$2:$B$439,$B56,'2020-2025时序'!$C$2:$C$439,2025)/SUMIFS('2020-2025时序'!$J$2:$J$439,'2020-2025时序'!$B$2:$B$439,$B56,'2020-2025时序'!$C$2:$C$439,2025)),"")</x:f>
      </x:c>
      <x:c r="W56" s="41" t="str">
        <x:f>IF(OR(R56="",J56="",J56=0),"",MIN(100,100*R56/J56))</x:f>
      </x:c>
      <x:c r="X56" s="41" t="str">
        <x:f>IF(OR(K56="",T56="",U56="",W56=""),"",0.25*MIN(100,MAX(20,20+K56/0.08*80))+0.20*(100-T56)+0.20*(100-U56)+0.15*G56+0.10*(100-W56)+0.10*G56)</x:f>
      </x:c>
      <x:c r="Y56" s="41" t="n">
        <x:f>ROUND(100*COUNT(I56:S56)/11,0)</x:f>
        <x:v>0</x:v>
      </x:c>
      <x:c r="Z56" s="16" t="str">
        <x:f>IF(AND(J56&lt;&gt;"",K56&gt;0,M56&lt;&gt;"",L56&lt;&gt;"",M56&lt;L56),"表面增长/人口收缩",IF(AND(U56&lt;&gt;"",U56&gt;=80),"财政高度依赖",IF(E56="收缩风险","结构性收缩风险",IF(H56&gt;=75,"单一产业集中风险",""))))</x:f>
        <x:v>结构性收缩风险</x:v>
      </x:c>
      <x:c r="AA56" s="16" t="str">
        <x:f>"详见“2020-2025时序”逐年来源URL；产业与抓手为研究判断"</x:f>
        <x:v>详见“2020-2025时序”逐年来源URL；产业与抓手为研究判断</x:v>
      </x:c>
    </x:row>
    <x:row r="57">
      <x:c r="A57" s="16" t="str">
        <x:v>抚州市</x:v>
      </x:c>
      <x:c r="B57" s="16" t="str">
        <x:v>南城县</x:v>
      </x:c>
      <x:c r="C57" s="16" t="str">
        <x:v>校具、医药食品、农业</x:v>
      </x:c>
      <x:c r="D57" s="16" t="str">
        <x:v>B</x:v>
      </x:c>
      <x:c r="E57" s="16" t="str">
        <x:v>转型型</x:v>
      </x:c>
      <x:c r="F57" s="16" t="str">
        <x:v>教育装备高端化</x:v>
      </x:c>
      <x:c r="G57" s="18" t="n">
        <x:v>68</x:v>
      </x:c>
      <x:c r="H57" s="18" t="n">
        <x:v>56</x:v>
      </x:c>
      <x:c r="I57" s="18" t="str">
        <x:f>IF(COUNTIFS('2020-2025时序'!$B$2:$B$439,$B57,'2020-2025时序'!$C$2:$C$439,2020,'2020-2025时序'!$D$2:$D$439,"&gt;0")=0,"",SUMIFS('2020-2025时序'!$D$2:$D$439,'2020-2025时序'!$B$2:$B$439,$B57,'2020-2025时序'!$C$2:$C$439,2020))</x:f>
      </x:c>
      <x:c r="J57" s="18" t="str">
        <x:f>IF(COUNTIFS('2020-2025时序'!$B$2:$B$439,$B57,'2020-2025时序'!$C$2:$C$439,2025,'2020-2025时序'!$D$2:$D$439,"&gt;0")=0,"",SUMIFS('2020-2025时序'!$D$2:$D$439,'2020-2025时序'!$B$2:$B$439,$B57,'2020-2025时序'!$C$2:$C$439,2025))</x:f>
      </x:c>
      <x:c r="K57" s="40" t="str">
        <x:f>IF(OR(I57="",J57=""),"",POWER(J57/I57,1/5)-1)</x:f>
      </x:c>
      <x:c r="L57" s="18" t="str">
        <x:f>IF(COUNTIFS('2020-2025时序'!$B$2:$B$439,$B57,'2020-2025时序'!$C$2:$C$439,2020,'2020-2025时序'!$E$2:$E$439,"&gt;0")=0,"",SUMIFS('2020-2025时序'!$E$2:$E$439,'2020-2025时序'!$B$2:$B$439,$B57,'2020-2025时序'!$C$2:$C$439,2020))</x:f>
      </x:c>
      <x:c r="M57" s="18" t="str">
        <x:f>IF(COUNTIFS('2020-2025时序'!$B$2:$B$439,$B57,'2020-2025时序'!$C$2:$C$439,2025,'2020-2025时序'!$E$2:$E$439,"&gt;0")=0,"",SUMIFS('2020-2025时序'!$E$2:$E$439,'2020-2025时序'!$B$2:$B$439,$B57,'2020-2025时序'!$C$2:$C$439,2025))</x:f>
      </x:c>
      <x:c r="N57" s="18" t="str">
        <x:f>IF(COUNTIFS('2020-2025时序'!$B$2:$B$439,$B57,'2020-2025时序'!$C$2:$C$439,2020,'2020-2025时序'!$F$2:$F$439,"&gt;0")=0,"",SUMIFS('2020-2025时序'!$F$2:$F$439,'2020-2025时序'!$B$2:$B$439,$B57,'2020-2025时序'!$C$2:$C$439,2020))</x:f>
      </x:c>
      <x:c r="O57" s="18" t="str">
        <x:f>IF(COUNTIFS('2020-2025时序'!$B$2:$B$439,$B57,'2020-2025时序'!$C$2:$C$439,2025,'2020-2025时序'!$F$2:$F$439,"&gt;0")=0,"",SUMIFS('2020-2025时序'!$F$2:$F$439,'2020-2025时序'!$B$2:$B$439,$B57,'2020-2025时序'!$C$2:$C$439,2025))</x:f>
      </x:c>
      <x:c r="P57" s="18" t="str">
        <x:f>IF(COUNTIFS('2020-2025时序'!$B$2:$B$439,$B57,'2020-2025时序'!$C$2:$C$439,2025,'2020-2025时序'!$G$2:$G$439,"&gt;0")=0,"",SUMIFS('2020-2025时序'!$G$2:$G$439,'2020-2025时序'!$B$2:$B$439,$B57,'2020-2025时序'!$C$2:$C$439,2025))</x:f>
      </x:c>
      <x:c r="Q57" s="18" t="str">
        <x:f>IF(COUNTIFS('2020-2025时序'!$B$2:$B$439,$B57,'2020-2025时序'!$C$2:$C$439,2025,'2020-2025时序'!$H$2:$H$439,"&gt;0")=0,"",SUMIFS('2020-2025时序'!$H$2:$H$439,'2020-2025时序'!$B$2:$B$439,$B57,'2020-2025时序'!$C$2:$C$439,2025))</x:f>
      </x:c>
      <x:c r="R57" s="18" t="str">
        <x:f>IF(COUNTIFS('2020-2025时序'!$B$2:$B$439,$B57,'2020-2025时序'!$C$2:$C$439,2025,'2020-2025时序'!$L$2:$L$439,"&gt;0")=0,"",SUMIFS('2020-2025时序'!$L$2:$L$439,'2020-2025时序'!$B$2:$B$439,$B57,'2020-2025时序'!$C$2:$C$439,2025))</x:f>
      </x:c>
      <x:c r="S57" s="18" t="str">
        <x:f>IF(COUNTIFS('2020-2025时序'!$B$2:$B$439,$B57,'2020-2025时序'!$C$2:$C$439,2025,'2020-2025时序'!$J$2:$J$439,"&gt;0")=0,"",SUMIFS('2020-2025时序'!$J$2:$J$439,'2020-2025时序'!$B$2:$B$439,$B57,'2020-2025时序'!$C$2:$C$439,2025))</x:f>
      </x:c>
      <x:c r="T57" s="41" t="str">
        <x:f>IF(OR(L57="",M57=""),"",IF(OR(N57="",O57=""),MIN(100,MAX(0,-(M57/L57-1)/0.10*100)),0.7*MIN(100,MAX(0,-(M57/L57-1)/0.10*100))+0.3*MIN(100,MAX(0,-(O57/N57-1)/0.50*100))))</x:f>
      </x:c>
      <x:c r="U57" s="41" t="str">
        <x:f>IF(OR(P57="",Q57="",Q57=0),"",MIN(100,MAX(0,100*(1-P57/Q57))))</x:f>
      </x:c>
      <x:c r="V57" s="41" t="str">
        <x:f>IFERROR(MIN(100,100*SUMIFS('2020-2025时序'!$O$2:$O$439,'2020-2025时序'!$B$2:$B$439,$B57,'2020-2025时序'!$C$2:$C$439,2025)/SUMIFS('2020-2025时序'!$J$2:$J$439,'2020-2025时序'!$B$2:$B$439,$B57,'2020-2025时序'!$C$2:$C$439,2025)),"")</x:f>
      </x:c>
      <x:c r="W57" s="41" t="str">
        <x:f>IF(OR(R57="",J57="",J57=0),"",MIN(100,100*R57/J57))</x:f>
      </x:c>
      <x:c r="X57" s="41" t="str">
        <x:f>IF(OR(K57="",T57="",U57="",W57=""),"",0.25*MIN(100,MAX(20,20+K57/0.08*80))+0.20*(100-T57)+0.20*(100-U57)+0.15*G57+0.10*(100-W57)+0.10*G57)</x:f>
      </x:c>
      <x:c r="Y57" s="41" t="n">
        <x:f>ROUND(100*COUNT(I57:S57)/11,0)</x:f>
        <x:v>0</x:v>
      </x:c>
      <x:c r="Z57" s="16" t="str">
        <x:f>IF(AND(J57&lt;&gt;"",K57&gt;0,M57&lt;&gt;"",L57&lt;&gt;"",M57&lt;L57),"表面增长/人口收缩",IF(AND(U57&lt;&gt;"",U57&gt;=80),"财政高度依赖",IF(E57="收缩风险","结构性收缩风险",IF(H57&gt;=75,"单一产业集中风险",""))))</x:f>
      </x:c>
      <x:c r="AA57" s="16" t="str">
        <x:f>"详见“2020-2025时序”逐年来源URL；产业与抓手为研究判断"</x:f>
        <x:v>详见“2020-2025时序”逐年来源URL；产业与抓手为研究判断</x:v>
      </x:c>
    </x:row>
    <x:row r="58">
      <x:c r="A58" s="16" t="str">
        <x:v>抚州市</x:v>
      </x:c>
      <x:c r="B58" s="16" t="str">
        <x:v>黎川县</x:v>
      </x:c>
      <x:c r="C58" s="16" t="str">
        <x:v>陶瓷、家具、新材料</x:v>
      </x:c>
      <x:c r="D58" s="16" t="str">
        <x:v>B</x:v>
      </x:c>
      <x:c r="E58" s="16" t="str">
        <x:v>转型型</x:v>
      </x:c>
      <x:c r="F58" s="16" t="str">
        <x:v>工业化爬坡、承接产业</x:v>
      </x:c>
      <x:c r="G58" s="18" t="n">
        <x:v>68</x:v>
      </x:c>
      <x:c r="H58" s="18" t="n">
        <x:v>56</x:v>
      </x:c>
      <x:c r="I58" s="18" t="str">
        <x:f>IF(COUNTIFS('2020-2025时序'!$B$2:$B$439,$B58,'2020-2025时序'!$C$2:$C$439,2020,'2020-2025时序'!$D$2:$D$439,"&gt;0")=0,"",SUMIFS('2020-2025时序'!$D$2:$D$439,'2020-2025时序'!$B$2:$B$439,$B58,'2020-2025时序'!$C$2:$C$439,2020))</x:f>
      </x:c>
      <x:c r="J58" s="18" t="str">
        <x:f>IF(COUNTIFS('2020-2025时序'!$B$2:$B$439,$B58,'2020-2025时序'!$C$2:$C$439,2025,'2020-2025时序'!$D$2:$D$439,"&gt;0")=0,"",SUMIFS('2020-2025时序'!$D$2:$D$439,'2020-2025时序'!$B$2:$B$439,$B58,'2020-2025时序'!$C$2:$C$439,2025))</x:f>
      </x:c>
      <x:c r="K58" s="40" t="str">
        <x:f>IF(OR(I58="",J58=""),"",POWER(J58/I58,1/5)-1)</x:f>
      </x:c>
      <x:c r="L58" s="18" t="str">
        <x:f>IF(COUNTIFS('2020-2025时序'!$B$2:$B$439,$B58,'2020-2025时序'!$C$2:$C$439,2020,'2020-2025时序'!$E$2:$E$439,"&gt;0")=0,"",SUMIFS('2020-2025时序'!$E$2:$E$439,'2020-2025时序'!$B$2:$B$439,$B58,'2020-2025时序'!$C$2:$C$439,2020))</x:f>
      </x:c>
      <x:c r="M58" s="18" t="str">
        <x:f>IF(COUNTIFS('2020-2025时序'!$B$2:$B$439,$B58,'2020-2025时序'!$C$2:$C$439,2025,'2020-2025时序'!$E$2:$E$439,"&gt;0")=0,"",SUMIFS('2020-2025时序'!$E$2:$E$439,'2020-2025时序'!$B$2:$B$439,$B58,'2020-2025时序'!$C$2:$C$439,2025))</x:f>
      </x:c>
      <x:c r="N58" s="18" t="str">
        <x:f>IF(COUNTIFS('2020-2025时序'!$B$2:$B$439,$B58,'2020-2025时序'!$C$2:$C$439,2020,'2020-2025时序'!$F$2:$F$439,"&gt;0")=0,"",SUMIFS('2020-2025时序'!$F$2:$F$439,'2020-2025时序'!$B$2:$B$439,$B58,'2020-2025时序'!$C$2:$C$439,2020))</x:f>
      </x:c>
      <x:c r="O58" s="18" t="str">
        <x:f>IF(COUNTIFS('2020-2025时序'!$B$2:$B$439,$B58,'2020-2025时序'!$C$2:$C$439,2025,'2020-2025时序'!$F$2:$F$439,"&gt;0")=0,"",SUMIFS('2020-2025时序'!$F$2:$F$439,'2020-2025时序'!$B$2:$B$439,$B58,'2020-2025时序'!$C$2:$C$439,2025))</x:f>
      </x:c>
      <x:c r="P58" s="18" t="str">
        <x:f>IF(COUNTIFS('2020-2025时序'!$B$2:$B$439,$B58,'2020-2025时序'!$C$2:$C$439,2025,'2020-2025时序'!$G$2:$G$439,"&gt;0")=0,"",SUMIFS('2020-2025时序'!$G$2:$G$439,'2020-2025时序'!$B$2:$B$439,$B58,'2020-2025时序'!$C$2:$C$439,2025))</x:f>
      </x:c>
      <x:c r="Q58" s="18" t="str">
        <x:f>IF(COUNTIFS('2020-2025时序'!$B$2:$B$439,$B58,'2020-2025时序'!$C$2:$C$439,2025,'2020-2025时序'!$H$2:$H$439,"&gt;0")=0,"",SUMIFS('2020-2025时序'!$H$2:$H$439,'2020-2025时序'!$B$2:$B$439,$B58,'2020-2025时序'!$C$2:$C$439,2025))</x:f>
      </x:c>
      <x:c r="R58" s="18" t="str">
        <x:f>IF(COUNTIFS('2020-2025时序'!$B$2:$B$439,$B58,'2020-2025时序'!$C$2:$C$439,2025,'2020-2025时序'!$L$2:$L$439,"&gt;0")=0,"",SUMIFS('2020-2025时序'!$L$2:$L$439,'2020-2025时序'!$B$2:$B$439,$B58,'2020-2025时序'!$C$2:$C$439,2025))</x:f>
      </x:c>
      <x:c r="S58" s="18" t="str">
        <x:f>IF(COUNTIFS('2020-2025时序'!$B$2:$B$439,$B58,'2020-2025时序'!$C$2:$C$439,2025,'2020-2025时序'!$J$2:$J$439,"&gt;0")=0,"",SUMIFS('2020-2025时序'!$J$2:$J$439,'2020-2025时序'!$B$2:$B$439,$B58,'2020-2025时序'!$C$2:$C$439,2025))</x:f>
      </x:c>
      <x:c r="T58" s="41" t="str">
        <x:f>IF(OR(L58="",M58=""),"",IF(OR(N58="",O58=""),MIN(100,MAX(0,-(M58/L58-1)/0.10*100)),0.7*MIN(100,MAX(0,-(M58/L58-1)/0.10*100))+0.3*MIN(100,MAX(0,-(O58/N58-1)/0.50*100))))</x:f>
      </x:c>
      <x:c r="U58" s="41" t="str">
        <x:f>IF(OR(P58="",Q58="",Q58=0),"",MIN(100,MAX(0,100*(1-P58/Q58))))</x:f>
      </x:c>
      <x:c r="V58" s="41" t="str">
        <x:f>IFERROR(MIN(100,100*SUMIFS('2020-2025时序'!$O$2:$O$439,'2020-2025时序'!$B$2:$B$439,$B58,'2020-2025时序'!$C$2:$C$439,2025)/SUMIFS('2020-2025时序'!$J$2:$J$439,'2020-2025时序'!$B$2:$B$439,$B58,'2020-2025时序'!$C$2:$C$439,2025)),"")</x:f>
      </x:c>
      <x:c r="W58" s="41" t="str">
        <x:f>IF(OR(R58="",J58="",J58=0),"",MIN(100,100*R58/J58))</x:f>
      </x:c>
      <x:c r="X58" s="41" t="str">
        <x:f>IF(OR(K58="",T58="",U58="",W58=""),"",0.25*MIN(100,MAX(20,20+K58/0.08*80))+0.20*(100-T58)+0.20*(100-U58)+0.15*G58+0.10*(100-W58)+0.10*G58)</x:f>
      </x:c>
      <x:c r="Y58" s="41" t="n">
        <x:f>ROUND(100*COUNT(I58:S58)/11,0)</x:f>
        <x:v>0</x:v>
      </x:c>
      <x:c r="Z58" s="16" t="str">
        <x:f>IF(AND(J58&lt;&gt;"",K58&gt;0,M58&lt;&gt;"",L58&lt;&gt;"",M58&lt;L58),"表面增长/人口收缩",IF(AND(U58&lt;&gt;"",U58&gt;=80),"财政高度依赖",IF(E58="收缩风险","结构性收缩风险",IF(H58&gt;=75,"单一产业集中风险",""))))</x:f>
      </x:c>
      <x:c r="AA58" s="16" t="str">
        <x:f>"详见“2020-2025时序”逐年来源URL；产业与抓手为研究判断"</x:f>
        <x:v>详见“2020-2025时序”逐年来源URL；产业与抓手为研究判断</x:v>
      </x:c>
    </x:row>
    <x:row r="59">
      <x:c r="A59" s="16" t="str">
        <x:v>抚州市</x:v>
      </x:c>
      <x:c r="B59" s="16" t="str">
        <x:v>南丰县</x:v>
      </x:c>
      <x:c r="C59" s="16" t="str">
        <x:v>蜜桔、食品加工、生物医药</x:v>
      </x:c>
      <x:c r="D59" s="16" t="str">
        <x:v>B-/C+</x:v>
      </x:c>
      <x:c r="E59" s="16" t="str">
        <x:v>承压型</x:v>
      </x:c>
      <x:c r="F59" s="16" t="str">
        <x:v>农产品深加工、品牌</x:v>
      </x:c>
      <x:c r="G59" s="18" t="n">
        <x:v>62</x:v>
      </x:c>
      <x:c r="H59" s="18" t="n">
        <x:v>76</x:v>
      </x:c>
      <x:c r="I59" s="18" t="n">
        <x:f>IF(COUNTIFS('2020-2025时序'!$B$2:$B$439,$B59,'2020-2025时序'!$C$2:$C$439,2020,'2020-2025时序'!$D$2:$D$439,"&gt;0")=0,"",SUMIFS('2020-2025时序'!$D$2:$D$439,'2020-2025时序'!$B$2:$B$439,$B59,'2020-2025时序'!$C$2:$C$439,2020))</x:f>
        <x:v>142.3884</x:v>
      </x:c>
      <x:c r="J59" s="18" t="str">
        <x:f>IF(COUNTIFS('2020-2025时序'!$B$2:$B$439,$B59,'2020-2025时序'!$C$2:$C$439,2025,'2020-2025时序'!$D$2:$D$439,"&gt;0")=0,"",SUMIFS('2020-2025时序'!$D$2:$D$439,'2020-2025时序'!$B$2:$B$439,$B59,'2020-2025时序'!$C$2:$C$439,2025))</x:f>
      </x:c>
      <x:c r="K59" s="40" t="str">
        <x:f>IF(OR(I59="",J59=""),"",POWER(J59/I59,1/5)-1)</x:f>
      </x:c>
      <x:c r="L59" s="18" t="str">
        <x:f>IF(COUNTIFS('2020-2025时序'!$B$2:$B$439,$B59,'2020-2025时序'!$C$2:$C$439,2020,'2020-2025时序'!$E$2:$E$439,"&gt;0")=0,"",SUMIFS('2020-2025时序'!$E$2:$E$439,'2020-2025时序'!$B$2:$B$439,$B59,'2020-2025时序'!$C$2:$C$439,2020))</x:f>
      </x:c>
      <x:c r="M59" s="18" t="str">
        <x:f>IF(COUNTIFS('2020-2025时序'!$B$2:$B$439,$B59,'2020-2025时序'!$C$2:$C$439,2025,'2020-2025时序'!$E$2:$E$439,"&gt;0")=0,"",SUMIFS('2020-2025时序'!$E$2:$E$439,'2020-2025时序'!$B$2:$B$439,$B59,'2020-2025时序'!$C$2:$C$439,2025))</x:f>
      </x:c>
      <x:c r="N59" s="18" t="str">
        <x:f>IF(COUNTIFS('2020-2025时序'!$B$2:$B$439,$B59,'2020-2025时序'!$C$2:$C$439,2020,'2020-2025时序'!$F$2:$F$439,"&gt;0")=0,"",SUMIFS('2020-2025时序'!$F$2:$F$439,'2020-2025时序'!$B$2:$B$439,$B59,'2020-2025时序'!$C$2:$C$439,2020))</x:f>
      </x:c>
      <x:c r="O59" s="18" t="str">
        <x:f>IF(COUNTIFS('2020-2025时序'!$B$2:$B$439,$B59,'2020-2025时序'!$C$2:$C$439,2025,'2020-2025时序'!$F$2:$F$439,"&gt;0")=0,"",SUMIFS('2020-2025时序'!$F$2:$F$439,'2020-2025时序'!$B$2:$B$439,$B59,'2020-2025时序'!$C$2:$C$439,2025))</x:f>
      </x:c>
      <x:c r="P59" s="18" t="str">
        <x:f>IF(COUNTIFS('2020-2025时序'!$B$2:$B$439,$B59,'2020-2025时序'!$C$2:$C$439,2025,'2020-2025时序'!$G$2:$G$439,"&gt;0")=0,"",SUMIFS('2020-2025时序'!$G$2:$G$439,'2020-2025时序'!$B$2:$B$439,$B59,'2020-2025时序'!$C$2:$C$439,2025))</x:f>
      </x:c>
      <x:c r="Q59" s="18" t="str">
        <x:f>IF(COUNTIFS('2020-2025时序'!$B$2:$B$439,$B59,'2020-2025时序'!$C$2:$C$439,2025,'2020-2025时序'!$H$2:$H$439,"&gt;0")=0,"",SUMIFS('2020-2025时序'!$H$2:$H$439,'2020-2025时序'!$B$2:$B$439,$B59,'2020-2025时序'!$C$2:$C$439,2025))</x:f>
      </x:c>
      <x:c r="R59" s="18" t="str">
        <x:f>IF(COUNTIFS('2020-2025时序'!$B$2:$B$439,$B59,'2020-2025时序'!$C$2:$C$439,2025,'2020-2025时序'!$L$2:$L$439,"&gt;0")=0,"",SUMIFS('2020-2025时序'!$L$2:$L$439,'2020-2025时序'!$B$2:$B$439,$B59,'2020-2025时序'!$C$2:$C$439,2025))</x:f>
      </x:c>
      <x:c r="S59" s="18" t="str">
        <x:f>IF(COUNTIFS('2020-2025时序'!$B$2:$B$439,$B59,'2020-2025时序'!$C$2:$C$439,2025,'2020-2025时序'!$J$2:$J$439,"&gt;0")=0,"",SUMIFS('2020-2025时序'!$J$2:$J$439,'2020-2025时序'!$B$2:$B$439,$B59,'2020-2025时序'!$C$2:$C$439,2025))</x:f>
      </x:c>
      <x:c r="T59" s="41" t="str">
        <x:f>IF(OR(L59="",M59=""),"",IF(OR(N59="",O59=""),MIN(100,MAX(0,-(M59/L59-1)/0.10*100)),0.7*MIN(100,MAX(0,-(M59/L59-1)/0.10*100))+0.3*MIN(100,MAX(0,-(O59/N59-1)/0.50*100))))</x:f>
      </x:c>
      <x:c r="U59" s="41" t="str">
        <x:f>IF(OR(P59="",Q59="",Q59=0),"",MIN(100,MAX(0,100*(1-P59/Q59))))</x:f>
      </x:c>
      <x:c r="V59" s="41" t="str">
        <x:f>IFERROR(MIN(100,100*SUMIFS('2020-2025时序'!$O$2:$O$439,'2020-2025时序'!$B$2:$B$439,$B59,'2020-2025时序'!$C$2:$C$439,2025)/SUMIFS('2020-2025时序'!$J$2:$J$439,'2020-2025时序'!$B$2:$B$439,$B59,'2020-2025时序'!$C$2:$C$439,2025)),"")</x:f>
      </x:c>
      <x:c r="W59" s="41" t="str">
        <x:f>IF(OR(R59="",J59="",J59=0),"",MIN(100,100*R59/J59))</x:f>
      </x:c>
      <x:c r="X59" s="41" t="str">
        <x:f>IF(OR(K59="",T59="",U59="",W59=""),"",0.25*MIN(100,MAX(20,20+K59/0.08*80))+0.20*(100-T59)+0.20*(100-U59)+0.15*G59+0.10*(100-W59)+0.10*G59)</x:f>
      </x:c>
      <x:c r="Y59" s="41" t="n">
        <x:f>ROUND(100*COUNT(I59:S59)/11,0)</x:f>
        <x:v>9</x:v>
      </x:c>
      <x:c r="Z59" s="16" t="str">
        <x:f>IF(AND(J59&lt;&gt;"",K59&gt;0,M59&lt;&gt;"",L59&lt;&gt;"",M59&lt;L59),"表面增长/人口收缩",IF(AND(U59&lt;&gt;"",U59&gt;=80),"财政高度依赖",IF(E59="收缩风险","结构性收缩风险",IF(H59&gt;=75,"单一产业集中风险",""))))</x:f>
        <x:v>单一产业集中风险</x:v>
      </x:c>
      <x:c r="AA59" s="16" t="str">
        <x:f>"详见“2020-2025时序”逐年来源URL；产业与抓手为研究判断"</x:f>
        <x:v>详见“2020-2025时序”逐年来源URL；产业与抓手为研究判断</x:v>
      </x:c>
    </x:row>
    <x:row r="60">
      <x:c r="A60" s="16" t="str">
        <x:v>抚州市</x:v>
      </x:c>
      <x:c r="B60" s="16" t="str">
        <x:v>崇仁县</x:v>
      </x:c>
      <x:c r="C60" s="16" t="str">
        <x:v>变压器、电气设备、农业</x:v>
      </x:c>
      <x:c r="D60" s="16" t="str">
        <x:v>B+</x:v>
      </x:c>
      <x:c r="E60" s="16" t="str">
        <x:v>转型增长型</x:v>
      </x:c>
      <x:c r="F60" s="16" t="str">
        <x:v>电网、新能源电力设备</x:v>
      </x:c>
      <x:c r="G60" s="18" t="n">
        <x:v>77</x:v>
      </x:c>
      <x:c r="H60" s="18" t="n">
        <x:v>68</x:v>
      </x:c>
      <x:c r="I60" s="18" t="n">
        <x:f>IF(COUNTIFS('2020-2025时序'!$B$2:$B$439,$B60,'2020-2025时序'!$C$2:$C$439,2020,'2020-2025时序'!$D$2:$D$439,"&gt;0")=0,"",SUMIFS('2020-2025时序'!$D$2:$D$439,'2020-2025时序'!$B$2:$B$439,$B60,'2020-2025时序'!$C$2:$C$439,2020))</x:f>
        <x:v>134.5334</x:v>
      </x:c>
      <x:c r="J60" s="18" t="str">
        <x:f>IF(COUNTIFS('2020-2025时序'!$B$2:$B$439,$B60,'2020-2025时序'!$C$2:$C$439,2025,'2020-2025时序'!$D$2:$D$439,"&gt;0")=0,"",SUMIFS('2020-2025时序'!$D$2:$D$439,'2020-2025时序'!$B$2:$B$439,$B60,'2020-2025时序'!$C$2:$C$439,2025))</x:f>
      </x:c>
      <x:c r="K60" s="40" t="str">
        <x:f>IF(OR(I60="",J60=""),"",POWER(J60/I60,1/5)-1)</x:f>
      </x:c>
      <x:c r="L60" s="18" t="str">
        <x:f>IF(COUNTIFS('2020-2025时序'!$B$2:$B$439,$B60,'2020-2025时序'!$C$2:$C$439,2020,'2020-2025时序'!$E$2:$E$439,"&gt;0")=0,"",SUMIFS('2020-2025时序'!$E$2:$E$439,'2020-2025时序'!$B$2:$B$439,$B60,'2020-2025时序'!$C$2:$C$439,2020))</x:f>
      </x:c>
      <x:c r="M60" s="18" t="str">
        <x:f>IF(COUNTIFS('2020-2025时序'!$B$2:$B$439,$B60,'2020-2025时序'!$C$2:$C$439,2025,'2020-2025时序'!$E$2:$E$439,"&gt;0")=0,"",SUMIFS('2020-2025时序'!$E$2:$E$439,'2020-2025时序'!$B$2:$B$439,$B60,'2020-2025时序'!$C$2:$C$439,2025))</x:f>
      </x:c>
      <x:c r="N60" s="18" t="str">
        <x:f>IF(COUNTIFS('2020-2025时序'!$B$2:$B$439,$B60,'2020-2025时序'!$C$2:$C$439,2020,'2020-2025时序'!$F$2:$F$439,"&gt;0")=0,"",SUMIFS('2020-2025时序'!$F$2:$F$439,'2020-2025时序'!$B$2:$B$439,$B60,'2020-2025时序'!$C$2:$C$439,2020))</x:f>
      </x:c>
      <x:c r="O60" s="18" t="str">
        <x:f>IF(COUNTIFS('2020-2025时序'!$B$2:$B$439,$B60,'2020-2025时序'!$C$2:$C$439,2025,'2020-2025时序'!$F$2:$F$439,"&gt;0")=0,"",SUMIFS('2020-2025时序'!$F$2:$F$439,'2020-2025时序'!$B$2:$B$439,$B60,'2020-2025时序'!$C$2:$C$439,2025))</x:f>
      </x:c>
      <x:c r="P60" s="18" t="str">
        <x:f>IF(COUNTIFS('2020-2025时序'!$B$2:$B$439,$B60,'2020-2025时序'!$C$2:$C$439,2025,'2020-2025时序'!$G$2:$G$439,"&gt;0")=0,"",SUMIFS('2020-2025时序'!$G$2:$G$439,'2020-2025时序'!$B$2:$B$439,$B60,'2020-2025时序'!$C$2:$C$439,2025))</x:f>
      </x:c>
      <x:c r="Q60" s="18" t="str">
        <x:f>IF(COUNTIFS('2020-2025时序'!$B$2:$B$439,$B60,'2020-2025时序'!$C$2:$C$439,2025,'2020-2025时序'!$H$2:$H$439,"&gt;0")=0,"",SUMIFS('2020-2025时序'!$H$2:$H$439,'2020-2025时序'!$B$2:$B$439,$B60,'2020-2025时序'!$C$2:$C$439,2025))</x:f>
      </x:c>
      <x:c r="R60" s="18" t="str">
        <x:f>IF(COUNTIFS('2020-2025时序'!$B$2:$B$439,$B60,'2020-2025时序'!$C$2:$C$439,2025,'2020-2025时序'!$L$2:$L$439,"&gt;0")=0,"",SUMIFS('2020-2025时序'!$L$2:$L$439,'2020-2025时序'!$B$2:$B$439,$B60,'2020-2025时序'!$C$2:$C$439,2025))</x:f>
      </x:c>
      <x:c r="S60" s="18" t="str">
        <x:f>IF(COUNTIFS('2020-2025时序'!$B$2:$B$439,$B60,'2020-2025时序'!$C$2:$C$439,2025,'2020-2025时序'!$J$2:$J$439,"&gt;0")=0,"",SUMIFS('2020-2025时序'!$J$2:$J$439,'2020-2025时序'!$B$2:$B$439,$B60,'2020-2025时序'!$C$2:$C$439,2025))</x:f>
      </x:c>
      <x:c r="T60" s="41" t="str">
        <x:f>IF(OR(L60="",M60=""),"",IF(OR(N60="",O60=""),MIN(100,MAX(0,-(M60/L60-1)/0.10*100)),0.7*MIN(100,MAX(0,-(M60/L60-1)/0.10*100))+0.3*MIN(100,MAX(0,-(O60/N60-1)/0.50*100))))</x:f>
      </x:c>
      <x:c r="U60" s="41" t="str">
        <x:f>IF(OR(P60="",Q60="",Q60=0),"",MIN(100,MAX(0,100*(1-P60/Q60))))</x:f>
      </x:c>
      <x:c r="V60" s="41" t="str">
        <x:f>IFERROR(MIN(100,100*SUMIFS('2020-2025时序'!$O$2:$O$439,'2020-2025时序'!$B$2:$B$439,$B60,'2020-2025时序'!$C$2:$C$439,2025)/SUMIFS('2020-2025时序'!$J$2:$J$439,'2020-2025时序'!$B$2:$B$439,$B60,'2020-2025时序'!$C$2:$C$439,2025)),"")</x:f>
      </x:c>
      <x:c r="W60" s="41" t="str">
        <x:f>IF(OR(R60="",J60="",J60=0),"",MIN(100,100*R60/J60))</x:f>
      </x:c>
      <x:c r="X60" s="41" t="str">
        <x:f>IF(OR(K60="",T60="",U60="",W60=""),"",0.25*MIN(100,MAX(20,20+K60/0.08*80))+0.20*(100-T60)+0.20*(100-U60)+0.15*G60+0.10*(100-W60)+0.10*G60)</x:f>
      </x:c>
      <x:c r="Y60" s="41" t="n">
        <x:f>ROUND(100*COUNT(I60:S60)/11,0)</x:f>
        <x:v>9</x:v>
      </x:c>
      <x:c r="Z60" s="16" t="str">
        <x:f>IF(AND(J60&lt;&gt;"",K60&gt;0,M60&lt;&gt;"",L60&lt;&gt;"",M60&lt;L60),"表面增长/人口收缩",IF(AND(U60&lt;&gt;"",U60&gt;=80),"财政高度依赖",IF(E60="收缩风险","结构性收缩风险",IF(H60&gt;=75,"单一产业集中风险",""))))</x:f>
      </x:c>
      <x:c r="AA60" s="16" t="str">
        <x:f>"详见“2020-2025时序”逐年来源URL；产业与抓手为研究判断"</x:f>
        <x:v>详见“2020-2025时序”逐年来源URL；产业与抓手为研究判断</x:v>
      </x:c>
    </x:row>
    <x:row r="61">
      <x:c r="A61" s="16" t="str">
        <x:v>抚州市</x:v>
      </x:c>
      <x:c r="B61" s="16" t="str">
        <x:v>乐安县</x:v>
      </x:c>
      <x:c r="C61" s="16" t="str">
        <x:v>农业食品、轻工业、旅游</x:v>
      </x:c>
      <x:c r="D61" s="16" t="str">
        <x:v>C/D</x:v>
      </x:c>
      <x:c r="E61" s="16" t="str">
        <x:v>收缩风险</x:v>
      </x:c>
      <x:c r="F61" s="16" t="str">
        <x:v>食品加工、产业承接</x:v>
      </x:c>
      <x:c r="G61" s="18" t="n">
        <x:v>44</x:v>
      </x:c>
      <x:c r="H61" s="18" t="n">
        <x:v>56</x:v>
      </x:c>
      <x:c r="I61" s="18" t="str">
        <x:f>IF(COUNTIFS('2020-2025时序'!$B$2:$B$439,$B61,'2020-2025时序'!$C$2:$C$439,2020,'2020-2025时序'!$D$2:$D$439,"&gt;0")=0,"",SUMIFS('2020-2025时序'!$D$2:$D$439,'2020-2025时序'!$B$2:$B$439,$B61,'2020-2025时序'!$C$2:$C$439,2020))</x:f>
      </x:c>
      <x:c r="J61" s="18" t="str">
        <x:f>IF(COUNTIFS('2020-2025时序'!$B$2:$B$439,$B61,'2020-2025时序'!$C$2:$C$439,2025,'2020-2025时序'!$D$2:$D$439,"&gt;0")=0,"",SUMIFS('2020-2025时序'!$D$2:$D$439,'2020-2025时序'!$B$2:$B$439,$B61,'2020-2025时序'!$C$2:$C$439,2025))</x:f>
      </x:c>
      <x:c r="K61" s="40" t="str">
        <x:f>IF(OR(I61="",J61=""),"",POWER(J61/I61,1/5)-1)</x:f>
      </x:c>
      <x:c r="L61" s="18" t="str">
        <x:f>IF(COUNTIFS('2020-2025时序'!$B$2:$B$439,$B61,'2020-2025时序'!$C$2:$C$439,2020,'2020-2025时序'!$E$2:$E$439,"&gt;0")=0,"",SUMIFS('2020-2025时序'!$E$2:$E$439,'2020-2025时序'!$B$2:$B$439,$B61,'2020-2025时序'!$C$2:$C$439,2020))</x:f>
      </x:c>
      <x:c r="M61" s="18" t="str">
        <x:f>IF(COUNTIFS('2020-2025时序'!$B$2:$B$439,$B61,'2020-2025时序'!$C$2:$C$439,2025,'2020-2025时序'!$E$2:$E$439,"&gt;0")=0,"",SUMIFS('2020-2025时序'!$E$2:$E$439,'2020-2025时序'!$B$2:$B$439,$B61,'2020-2025时序'!$C$2:$C$439,2025))</x:f>
      </x:c>
      <x:c r="N61" s="18" t="str">
        <x:f>IF(COUNTIFS('2020-2025时序'!$B$2:$B$439,$B61,'2020-2025时序'!$C$2:$C$439,2020,'2020-2025时序'!$F$2:$F$439,"&gt;0")=0,"",SUMIFS('2020-2025时序'!$F$2:$F$439,'2020-2025时序'!$B$2:$B$439,$B61,'2020-2025时序'!$C$2:$C$439,2020))</x:f>
      </x:c>
      <x:c r="O61" s="18" t="str">
        <x:f>IF(COUNTIFS('2020-2025时序'!$B$2:$B$439,$B61,'2020-2025时序'!$C$2:$C$439,2025,'2020-2025时序'!$F$2:$F$439,"&gt;0")=0,"",SUMIFS('2020-2025时序'!$F$2:$F$439,'2020-2025时序'!$B$2:$B$439,$B61,'2020-2025时序'!$C$2:$C$439,2025))</x:f>
      </x:c>
      <x:c r="P61" s="18" t="str">
        <x:f>IF(COUNTIFS('2020-2025时序'!$B$2:$B$439,$B61,'2020-2025时序'!$C$2:$C$439,2025,'2020-2025时序'!$G$2:$G$439,"&gt;0")=0,"",SUMIFS('2020-2025时序'!$G$2:$G$439,'2020-2025时序'!$B$2:$B$439,$B61,'2020-2025时序'!$C$2:$C$439,2025))</x:f>
      </x:c>
      <x:c r="Q61" s="18" t="str">
        <x:f>IF(COUNTIFS('2020-2025时序'!$B$2:$B$439,$B61,'2020-2025时序'!$C$2:$C$439,2025,'2020-2025时序'!$H$2:$H$439,"&gt;0")=0,"",SUMIFS('2020-2025时序'!$H$2:$H$439,'2020-2025时序'!$B$2:$B$439,$B61,'2020-2025时序'!$C$2:$C$439,2025))</x:f>
      </x:c>
      <x:c r="R61" s="18" t="str">
        <x:f>IF(COUNTIFS('2020-2025时序'!$B$2:$B$439,$B61,'2020-2025时序'!$C$2:$C$439,2025,'2020-2025时序'!$L$2:$L$439,"&gt;0")=0,"",SUMIFS('2020-2025时序'!$L$2:$L$439,'2020-2025时序'!$B$2:$B$439,$B61,'2020-2025时序'!$C$2:$C$439,2025))</x:f>
      </x:c>
      <x:c r="S61" s="18" t="str">
        <x:f>IF(COUNTIFS('2020-2025时序'!$B$2:$B$439,$B61,'2020-2025时序'!$C$2:$C$439,2025,'2020-2025时序'!$J$2:$J$439,"&gt;0")=0,"",SUMIFS('2020-2025时序'!$J$2:$J$439,'2020-2025时序'!$B$2:$B$439,$B61,'2020-2025时序'!$C$2:$C$439,2025))</x:f>
      </x:c>
      <x:c r="T61" s="41" t="str">
        <x:f>IF(OR(L61="",M61=""),"",IF(OR(N61="",O61=""),MIN(100,MAX(0,-(M61/L61-1)/0.10*100)),0.7*MIN(100,MAX(0,-(M61/L61-1)/0.10*100))+0.3*MIN(100,MAX(0,-(O61/N61-1)/0.50*100))))</x:f>
      </x:c>
      <x:c r="U61" s="41" t="str">
        <x:f>IF(OR(P61="",Q61="",Q61=0),"",MIN(100,MAX(0,100*(1-P61/Q61))))</x:f>
      </x:c>
      <x:c r="V61" s="41" t="str">
        <x:f>IFERROR(MIN(100,100*SUMIFS('2020-2025时序'!$O$2:$O$439,'2020-2025时序'!$B$2:$B$439,$B61,'2020-2025时序'!$C$2:$C$439,2025)/SUMIFS('2020-2025时序'!$J$2:$J$439,'2020-2025时序'!$B$2:$B$439,$B61,'2020-2025时序'!$C$2:$C$439,2025)),"")</x:f>
      </x:c>
      <x:c r="W61" s="41" t="str">
        <x:f>IF(OR(R61="",J61="",J61=0),"",MIN(100,100*R61/J61))</x:f>
      </x:c>
      <x:c r="X61" s="41" t="str">
        <x:f>IF(OR(K61="",T61="",U61="",W61=""),"",0.25*MIN(100,MAX(20,20+K61/0.08*80))+0.20*(100-T61)+0.20*(100-U61)+0.15*G61+0.10*(100-W61)+0.10*G61)</x:f>
      </x:c>
      <x:c r="Y61" s="41" t="n">
        <x:f>ROUND(100*COUNT(I61:S61)/11,0)</x:f>
        <x:v>0</x:v>
      </x:c>
      <x:c r="Z61" s="16" t="str">
        <x:f>IF(AND(J61&lt;&gt;"",K61&gt;0,M61&lt;&gt;"",L61&lt;&gt;"",M61&lt;L61),"表面增长/人口收缩",IF(AND(U61&lt;&gt;"",U61&gt;=80),"财政高度依赖",IF(E61="收缩风险","结构性收缩风险",IF(H61&gt;=75,"单一产业集中风险",""))))</x:f>
        <x:v>结构性收缩风险</x:v>
      </x:c>
      <x:c r="AA61" s="16" t="str">
        <x:f>"详见“2020-2025时序”逐年来源URL；产业与抓手为研究判断"</x:f>
        <x:v>详见“2020-2025时序”逐年来源URL；产业与抓手为研究判断</x:v>
      </x:c>
    </x:row>
    <x:row r="62">
      <x:c r="A62" s="16" t="str">
        <x:v>抚州市</x:v>
      </x:c>
      <x:c r="B62" s="16" t="str">
        <x:v>宜黄县</x:v>
      </x:c>
      <x:c r="C62" s="16" t="str">
        <x:v>塑料/新材料、轻制造、农业</x:v>
      </x:c>
      <x:c r="D62" s="16" t="str">
        <x:v>B-/C+</x:v>
      </x:c>
      <x:c r="E62" s="16" t="str">
        <x:v>承压型</x:v>
      </x:c>
      <x:c r="F62" s="16" t="str">
        <x:v>材料产业升级</x:v>
      </x:c>
      <x:c r="G62" s="18" t="n">
        <x:v>62</x:v>
      </x:c>
      <x:c r="H62" s="18" t="n">
        <x:v>56</x:v>
      </x:c>
      <x:c r="I62" s="18" t="str">
        <x:f>IF(COUNTIFS('2020-2025时序'!$B$2:$B$439,$B62,'2020-2025时序'!$C$2:$C$439,2020,'2020-2025时序'!$D$2:$D$439,"&gt;0")=0,"",SUMIFS('2020-2025时序'!$D$2:$D$439,'2020-2025时序'!$B$2:$B$439,$B62,'2020-2025时序'!$C$2:$C$439,2020))</x:f>
      </x:c>
      <x:c r="J62" s="18" t="str">
        <x:f>IF(COUNTIFS('2020-2025时序'!$B$2:$B$439,$B62,'2020-2025时序'!$C$2:$C$439,2025,'2020-2025时序'!$D$2:$D$439,"&gt;0")=0,"",SUMIFS('2020-2025时序'!$D$2:$D$439,'2020-2025时序'!$B$2:$B$439,$B62,'2020-2025时序'!$C$2:$C$439,2025))</x:f>
      </x:c>
      <x:c r="K62" s="40" t="str">
        <x:f>IF(OR(I62="",J62=""),"",POWER(J62/I62,1/5)-1)</x:f>
      </x:c>
      <x:c r="L62" s="18" t="str">
        <x:f>IF(COUNTIFS('2020-2025时序'!$B$2:$B$439,$B62,'2020-2025时序'!$C$2:$C$439,2020,'2020-2025时序'!$E$2:$E$439,"&gt;0")=0,"",SUMIFS('2020-2025时序'!$E$2:$E$439,'2020-2025时序'!$B$2:$B$439,$B62,'2020-2025时序'!$C$2:$C$439,2020))</x:f>
      </x:c>
      <x:c r="M62" s="18" t="str">
        <x:f>IF(COUNTIFS('2020-2025时序'!$B$2:$B$439,$B62,'2020-2025时序'!$C$2:$C$439,2025,'2020-2025时序'!$E$2:$E$439,"&gt;0")=0,"",SUMIFS('2020-2025时序'!$E$2:$E$439,'2020-2025时序'!$B$2:$B$439,$B62,'2020-2025时序'!$C$2:$C$439,2025))</x:f>
      </x:c>
      <x:c r="N62" s="18" t="str">
        <x:f>IF(COUNTIFS('2020-2025时序'!$B$2:$B$439,$B62,'2020-2025时序'!$C$2:$C$439,2020,'2020-2025时序'!$F$2:$F$439,"&gt;0")=0,"",SUMIFS('2020-2025时序'!$F$2:$F$439,'2020-2025时序'!$B$2:$B$439,$B62,'2020-2025时序'!$C$2:$C$439,2020))</x:f>
      </x:c>
      <x:c r="O62" s="18" t="str">
        <x:f>IF(COUNTIFS('2020-2025时序'!$B$2:$B$439,$B62,'2020-2025时序'!$C$2:$C$439,2025,'2020-2025时序'!$F$2:$F$439,"&gt;0")=0,"",SUMIFS('2020-2025时序'!$F$2:$F$439,'2020-2025时序'!$B$2:$B$439,$B62,'2020-2025时序'!$C$2:$C$439,2025))</x:f>
      </x:c>
      <x:c r="P62" s="18" t="str">
        <x:f>IF(COUNTIFS('2020-2025时序'!$B$2:$B$439,$B62,'2020-2025时序'!$C$2:$C$439,2025,'2020-2025时序'!$G$2:$G$439,"&gt;0")=0,"",SUMIFS('2020-2025时序'!$G$2:$G$439,'2020-2025时序'!$B$2:$B$439,$B62,'2020-2025时序'!$C$2:$C$439,2025))</x:f>
      </x:c>
      <x:c r="Q62" s="18" t="str">
        <x:f>IF(COUNTIFS('2020-2025时序'!$B$2:$B$439,$B62,'2020-2025时序'!$C$2:$C$439,2025,'2020-2025时序'!$H$2:$H$439,"&gt;0")=0,"",SUMIFS('2020-2025时序'!$H$2:$H$439,'2020-2025时序'!$B$2:$B$439,$B62,'2020-2025时序'!$C$2:$C$439,2025))</x:f>
      </x:c>
      <x:c r="R62" s="18" t="str">
        <x:f>IF(COUNTIFS('2020-2025时序'!$B$2:$B$439,$B62,'2020-2025时序'!$C$2:$C$439,2025,'2020-2025时序'!$L$2:$L$439,"&gt;0")=0,"",SUMIFS('2020-2025时序'!$L$2:$L$439,'2020-2025时序'!$B$2:$B$439,$B62,'2020-2025时序'!$C$2:$C$439,2025))</x:f>
      </x:c>
      <x:c r="S62" s="18" t="str">
        <x:f>IF(COUNTIFS('2020-2025时序'!$B$2:$B$439,$B62,'2020-2025时序'!$C$2:$C$439,2025,'2020-2025时序'!$J$2:$J$439,"&gt;0")=0,"",SUMIFS('2020-2025时序'!$J$2:$J$439,'2020-2025时序'!$B$2:$B$439,$B62,'2020-2025时序'!$C$2:$C$439,2025))</x:f>
      </x:c>
      <x:c r="T62" s="41" t="str">
        <x:f>IF(OR(L62="",M62=""),"",IF(OR(N62="",O62=""),MIN(100,MAX(0,-(M62/L62-1)/0.10*100)),0.7*MIN(100,MAX(0,-(M62/L62-1)/0.10*100))+0.3*MIN(100,MAX(0,-(O62/N62-1)/0.50*100))))</x:f>
      </x:c>
      <x:c r="U62" s="41" t="str">
        <x:f>IF(OR(P62="",Q62="",Q62=0),"",MIN(100,MAX(0,100*(1-P62/Q62))))</x:f>
      </x:c>
      <x:c r="V62" s="41" t="str">
        <x:f>IFERROR(MIN(100,100*SUMIFS('2020-2025时序'!$O$2:$O$439,'2020-2025时序'!$B$2:$B$439,$B62,'2020-2025时序'!$C$2:$C$439,2025)/SUMIFS('2020-2025时序'!$J$2:$J$439,'2020-2025时序'!$B$2:$B$439,$B62,'2020-2025时序'!$C$2:$C$439,2025)),"")</x:f>
      </x:c>
      <x:c r="W62" s="41" t="str">
        <x:f>IF(OR(R62="",J62="",J62=0),"",MIN(100,100*R62/J62))</x:f>
      </x:c>
      <x:c r="X62" s="41" t="str">
        <x:f>IF(OR(K62="",T62="",U62="",W62=""),"",0.25*MIN(100,MAX(20,20+K62/0.08*80))+0.20*(100-T62)+0.20*(100-U62)+0.15*G62+0.10*(100-W62)+0.10*G62)</x:f>
      </x:c>
      <x:c r="Y62" s="41" t="n">
        <x:f>ROUND(100*COUNT(I62:S62)/11,0)</x:f>
        <x:v>0</x:v>
      </x:c>
      <x:c r="Z62" s="16" t="str">
        <x:f>IF(AND(J62&lt;&gt;"",K62&gt;0,M62&lt;&gt;"",L62&lt;&gt;"",M62&lt;L62),"表面增长/人口收缩",IF(AND(U62&lt;&gt;"",U62&gt;=80),"财政高度依赖",IF(E62="收缩风险","结构性收缩风险",IF(H62&gt;=75,"单一产业集中风险",""))))</x:f>
      </x:c>
      <x:c r="AA62" s="16" t="str">
        <x:f>"详见“2020-2025时序”逐年来源URL；产业与抓手为研究判断"</x:f>
        <x:v>详见“2020-2025时序”逐年来源URL；产业与抓手为研究判断</x:v>
      </x:c>
    </x:row>
    <x:row r="63">
      <x:c r="A63" s="16" t="str">
        <x:v>抚州市</x:v>
      </x:c>
      <x:c r="B63" s="16" t="str">
        <x:v>金溪县</x:v>
      </x:c>
      <x:c r="C63" s="16" t="str">
        <x:v>香精香料、生物医药、食品</x:v>
      </x:c>
      <x:c r="D63" s="16" t="str">
        <x:v>B+</x:v>
      </x:c>
      <x:c r="E63" s="16" t="str">
        <x:v>转型增长型</x:v>
      </x:c>
      <x:c r="F63" s="16" t="str">
        <x:v>香精香料、高附加值化学品</x:v>
      </x:c>
      <x:c r="G63" s="18" t="n">
        <x:v>77</x:v>
      </x:c>
      <x:c r="H63" s="18" t="n">
        <x:v>76</x:v>
      </x:c>
      <x:c r="I63" s="18" t="n">
        <x:f>IF(COUNTIFS('2020-2025时序'!$B$2:$B$439,$B63,'2020-2025时序'!$C$2:$C$439,2020,'2020-2025时序'!$D$2:$D$439,"&gt;0")=0,"",SUMIFS('2020-2025时序'!$D$2:$D$439,'2020-2025时序'!$B$2:$B$439,$B63,'2020-2025时序'!$C$2:$C$439,2020))</x:f>
        <x:v>95.8877</x:v>
      </x:c>
      <x:c r="J63" s="18" t="str">
        <x:f>IF(COUNTIFS('2020-2025时序'!$B$2:$B$439,$B63,'2020-2025时序'!$C$2:$C$439,2025,'2020-2025时序'!$D$2:$D$439,"&gt;0")=0,"",SUMIFS('2020-2025时序'!$D$2:$D$439,'2020-2025时序'!$B$2:$B$439,$B63,'2020-2025时序'!$C$2:$C$439,2025))</x:f>
      </x:c>
      <x:c r="K63" s="40" t="str">
        <x:f>IF(OR(I63="",J63=""),"",POWER(J63/I63,1/5)-1)</x:f>
      </x:c>
      <x:c r="L63" s="18" t="str">
        <x:f>IF(COUNTIFS('2020-2025时序'!$B$2:$B$439,$B63,'2020-2025时序'!$C$2:$C$439,2020,'2020-2025时序'!$E$2:$E$439,"&gt;0")=0,"",SUMIFS('2020-2025时序'!$E$2:$E$439,'2020-2025时序'!$B$2:$B$439,$B63,'2020-2025时序'!$C$2:$C$439,2020))</x:f>
      </x:c>
      <x:c r="M63" s="18" t="str">
        <x:f>IF(COUNTIFS('2020-2025时序'!$B$2:$B$439,$B63,'2020-2025时序'!$C$2:$C$439,2025,'2020-2025时序'!$E$2:$E$439,"&gt;0")=0,"",SUMIFS('2020-2025时序'!$E$2:$E$439,'2020-2025时序'!$B$2:$B$439,$B63,'2020-2025时序'!$C$2:$C$439,2025))</x:f>
      </x:c>
      <x:c r="N63" s="18" t="str">
        <x:f>IF(COUNTIFS('2020-2025时序'!$B$2:$B$439,$B63,'2020-2025时序'!$C$2:$C$439,2020,'2020-2025时序'!$F$2:$F$439,"&gt;0")=0,"",SUMIFS('2020-2025时序'!$F$2:$F$439,'2020-2025时序'!$B$2:$B$439,$B63,'2020-2025时序'!$C$2:$C$439,2020))</x:f>
      </x:c>
      <x:c r="O63" s="18" t="str">
        <x:f>IF(COUNTIFS('2020-2025时序'!$B$2:$B$439,$B63,'2020-2025时序'!$C$2:$C$439,2025,'2020-2025时序'!$F$2:$F$439,"&gt;0")=0,"",SUMIFS('2020-2025时序'!$F$2:$F$439,'2020-2025时序'!$B$2:$B$439,$B63,'2020-2025时序'!$C$2:$C$439,2025))</x:f>
      </x:c>
      <x:c r="P63" s="18" t="str">
        <x:f>IF(COUNTIFS('2020-2025时序'!$B$2:$B$439,$B63,'2020-2025时序'!$C$2:$C$439,2025,'2020-2025时序'!$G$2:$G$439,"&gt;0")=0,"",SUMIFS('2020-2025时序'!$G$2:$G$439,'2020-2025时序'!$B$2:$B$439,$B63,'2020-2025时序'!$C$2:$C$439,2025))</x:f>
      </x:c>
      <x:c r="Q63" s="18" t="str">
        <x:f>IF(COUNTIFS('2020-2025时序'!$B$2:$B$439,$B63,'2020-2025时序'!$C$2:$C$439,2025,'2020-2025时序'!$H$2:$H$439,"&gt;0")=0,"",SUMIFS('2020-2025时序'!$H$2:$H$439,'2020-2025时序'!$B$2:$B$439,$B63,'2020-2025时序'!$C$2:$C$439,2025))</x:f>
      </x:c>
      <x:c r="R63" s="18" t="str">
        <x:f>IF(COUNTIFS('2020-2025时序'!$B$2:$B$439,$B63,'2020-2025时序'!$C$2:$C$439,2025,'2020-2025时序'!$L$2:$L$439,"&gt;0")=0,"",SUMIFS('2020-2025时序'!$L$2:$L$439,'2020-2025时序'!$B$2:$B$439,$B63,'2020-2025时序'!$C$2:$C$439,2025))</x:f>
      </x:c>
      <x:c r="S63" s="18" t="str">
        <x:f>IF(COUNTIFS('2020-2025时序'!$B$2:$B$439,$B63,'2020-2025时序'!$C$2:$C$439,2025,'2020-2025时序'!$J$2:$J$439,"&gt;0")=0,"",SUMIFS('2020-2025时序'!$J$2:$J$439,'2020-2025时序'!$B$2:$B$439,$B63,'2020-2025时序'!$C$2:$C$439,2025))</x:f>
      </x:c>
      <x:c r="T63" s="41" t="str">
        <x:f>IF(OR(L63="",M63=""),"",IF(OR(N63="",O63=""),MIN(100,MAX(0,-(M63/L63-1)/0.10*100)),0.7*MIN(100,MAX(0,-(M63/L63-1)/0.10*100))+0.3*MIN(100,MAX(0,-(O63/N63-1)/0.50*100))))</x:f>
      </x:c>
      <x:c r="U63" s="41" t="str">
        <x:f>IF(OR(P63="",Q63="",Q63=0),"",MIN(100,MAX(0,100*(1-P63/Q63))))</x:f>
      </x:c>
      <x:c r="V63" s="41" t="str">
        <x:f>IFERROR(MIN(100,100*SUMIFS('2020-2025时序'!$O$2:$O$439,'2020-2025时序'!$B$2:$B$439,$B63,'2020-2025时序'!$C$2:$C$439,2025)/SUMIFS('2020-2025时序'!$J$2:$J$439,'2020-2025时序'!$B$2:$B$439,$B63,'2020-2025时序'!$C$2:$C$439,2025)),"")</x:f>
      </x:c>
      <x:c r="W63" s="41" t="str">
        <x:f>IF(OR(R63="",J63="",J63=0),"",MIN(100,100*R63/J63))</x:f>
      </x:c>
      <x:c r="X63" s="41" t="str">
        <x:f>IF(OR(K63="",T63="",U63="",W63=""),"",0.25*MIN(100,MAX(20,20+K63/0.08*80))+0.20*(100-T63)+0.20*(100-U63)+0.15*G63+0.10*(100-W63)+0.10*G63)</x:f>
      </x:c>
      <x:c r="Y63" s="41" t="n">
        <x:f>ROUND(100*COUNT(I63:S63)/11,0)</x:f>
        <x:v>9</x:v>
      </x:c>
      <x:c r="Z63" s="16" t="str">
        <x:f>IF(AND(J63&lt;&gt;"",K63&gt;0,M63&lt;&gt;"",L63&lt;&gt;"",M63&lt;L63),"表面增长/人口收缩",IF(AND(U63&lt;&gt;"",U63&gt;=80),"财政高度依赖",IF(E63="收缩风险","结构性收缩风险",IF(H63&gt;=75,"单一产业集中风险",""))))</x:f>
        <x:v>单一产业集中风险</x:v>
      </x:c>
      <x:c r="AA63" s="16" t="str">
        <x:f>"详见“2020-2025时序”逐年来源URL；产业与抓手为研究判断"</x:f>
        <x:v>详见“2020-2025时序”逐年来源URL；产业与抓手为研究判断</x:v>
      </x:c>
    </x:row>
    <x:row r="64">
      <x:c r="A64" s="16" t="str">
        <x:v>抚州市</x:v>
      </x:c>
      <x:c r="B64" s="16" t="str">
        <x:v>资溪县</x:v>
      </x:c>
      <x:c r="C64" s="16" t="str">
        <x:v>面包食品、林业、生态旅游</x:v>
      </x:c>
      <x:c r="D64" s="16" t="str">
        <x:v>C</x:v>
      </x:c>
      <x:c r="E64" s="16" t="str">
        <x:v>承压型</x:v>
      </x:c>
      <x:c r="F64" s="16" t="str">
        <x:v>食品品牌、康养旅游</x:v>
      </x:c>
      <x:c r="G64" s="18" t="n">
        <x:v>52</x:v>
      </x:c>
      <x:c r="H64" s="18" t="n">
        <x:v>56</x:v>
      </x:c>
      <x:c r="I64" s="18" t="str">
        <x:f>IF(COUNTIFS('2020-2025时序'!$B$2:$B$439,$B64,'2020-2025时序'!$C$2:$C$439,2020,'2020-2025时序'!$D$2:$D$439,"&gt;0")=0,"",SUMIFS('2020-2025时序'!$D$2:$D$439,'2020-2025时序'!$B$2:$B$439,$B64,'2020-2025时序'!$C$2:$C$439,2020))</x:f>
      </x:c>
      <x:c r="J64" s="18" t="str">
        <x:f>IF(COUNTIFS('2020-2025时序'!$B$2:$B$439,$B64,'2020-2025时序'!$C$2:$C$439,2025,'2020-2025时序'!$D$2:$D$439,"&gt;0")=0,"",SUMIFS('2020-2025时序'!$D$2:$D$439,'2020-2025时序'!$B$2:$B$439,$B64,'2020-2025时序'!$C$2:$C$439,2025))</x:f>
      </x:c>
      <x:c r="K64" s="40" t="str">
        <x:f>IF(OR(I64="",J64=""),"",POWER(J64/I64,1/5)-1)</x:f>
      </x:c>
      <x:c r="L64" s="18" t="str">
        <x:f>IF(COUNTIFS('2020-2025时序'!$B$2:$B$439,$B64,'2020-2025时序'!$C$2:$C$439,2020,'2020-2025时序'!$E$2:$E$439,"&gt;0")=0,"",SUMIFS('2020-2025时序'!$E$2:$E$439,'2020-2025时序'!$B$2:$B$439,$B64,'2020-2025时序'!$C$2:$C$439,2020))</x:f>
      </x:c>
      <x:c r="M64" s="18" t="str">
        <x:f>IF(COUNTIFS('2020-2025时序'!$B$2:$B$439,$B64,'2020-2025时序'!$C$2:$C$439,2025,'2020-2025时序'!$E$2:$E$439,"&gt;0")=0,"",SUMIFS('2020-2025时序'!$E$2:$E$439,'2020-2025时序'!$B$2:$B$439,$B64,'2020-2025时序'!$C$2:$C$439,2025))</x:f>
      </x:c>
      <x:c r="N64" s="18" t="str">
        <x:f>IF(COUNTIFS('2020-2025时序'!$B$2:$B$439,$B64,'2020-2025时序'!$C$2:$C$439,2020,'2020-2025时序'!$F$2:$F$439,"&gt;0")=0,"",SUMIFS('2020-2025时序'!$F$2:$F$439,'2020-2025时序'!$B$2:$B$439,$B64,'2020-2025时序'!$C$2:$C$439,2020))</x:f>
      </x:c>
      <x:c r="O64" s="18" t="str">
        <x:f>IF(COUNTIFS('2020-2025时序'!$B$2:$B$439,$B64,'2020-2025时序'!$C$2:$C$439,2025,'2020-2025时序'!$F$2:$F$439,"&gt;0")=0,"",SUMIFS('2020-2025时序'!$F$2:$F$439,'2020-2025时序'!$B$2:$B$439,$B64,'2020-2025时序'!$C$2:$C$439,2025))</x:f>
      </x:c>
      <x:c r="P64" s="18" t="str">
        <x:f>IF(COUNTIFS('2020-2025时序'!$B$2:$B$439,$B64,'2020-2025时序'!$C$2:$C$439,2025,'2020-2025时序'!$G$2:$G$439,"&gt;0")=0,"",SUMIFS('2020-2025时序'!$G$2:$G$439,'2020-2025时序'!$B$2:$B$439,$B64,'2020-2025时序'!$C$2:$C$439,2025))</x:f>
      </x:c>
      <x:c r="Q64" s="18" t="str">
        <x:f>IF(COUNTIFS('2020-2025时序'!$B$2:$B$439,$B64,'2020-2025时序'!$C$2:$C$439,2025,'2020-2025时序'!$H$2:$H$439,"&gt;0")=0,"",SUMIFS('2020-2025时序'!$H$2:$H$439,'2020-2025时序'!$B$2:$B$439,$B64,'2020-2025时序'!$C$2:$C$439,2025))</x:f>
      </x:c>
      <x:c r="R64" s="18" t="str">
        <x:f>IF(COUNTIFS('2020-2025时序'!$B$2:$B$439,$B64,'2020-2025时序'!$C$2:$C$439,2025,'2020-2025时序'!$L$2:$L$439,"&gt;0")=0,"",SUMIFS('2020-2025时序'!$L$2:$L$439,'2020-2025时序'!$B$2:$B$439,$B64,'2020-2025时序'!$C$2:$C$439,2025))</x:f>
      </x:c>
      <x:c r="S64" s="18" t="str">
        <x:f>IF(COUNTIFS('2020-2025时序'!$B$2:$B$439,$B64,'2020-2025时序'!$C$2:$C$439,2025,'2020-2025时序'!$J$2:$J$439,"&gt;0")=0,"",SUMIFS('2020-2025时序'!$J$2:$J$439,'2020-2025时序'!$B$2:$B$439,$B64,'2020-2025时序'!$C$2:$C$439,2025))</x:f>
      </x:c>
      <x:c r="T64" s="41" t="str">
        <x:f>IF(OR(L64="",M64=""),"",IF(OR(N64="",O64=""),MIN(100,MAX(0,-(M64/L64-1)/0.10*100)),0.7*MIN(100,MAX(0,-(M64/L64-1)/0.10*100))+0.3*MIN(100,MAX(0,-(O64/N64-1)/0.50*100))))</x:f>
      </x:c>
      <x:c r="U64" s="41" t="str">
        <x:f>IF(OR(P64="",Q64="",Q64=0),"",MIN(100,MAX(0,100*(1-P64/Q64))))</x:f>
      </x:c>
      <x:c r="V64" s="41" t="str">
        <x:f>IFERROR(MIN(100,100*SUMIFS('2020-2025时序'!$O$2:$O$439,'2020-2025时序'!$B$2:$B$439,$B64,'2020-2025时序'!$C$2:$C$439,2025)/SUMIFS('2020-2025时序'!$J$2:$J$439,'2020-2025时序'!$B$2:$B$439,$B64,'2020-2025时序'!$C$2:$C$439,2025)),"")</x:f>
      </x:c>
      <x:c r="W64" s="41" t="str">
        <x:f>IF(OR(R64="",J64="",J64=0),"",MIN(100,100*R64/J64))</x:f>
      </x:c>
      <x:c r="X64" s="41" t="str">
        <x:f>IF(OR(K64="",T64="",U64="",W64=""),"",0.25*MIN(100,MAX(20,20+K64/0.08*80))+0.20*(100-T64)+0.20*(100-U64)+0.15*G64+0.10*(100-W64)+0.10*G64)</x:f>
      </x:c>
      <x:c r="Y64" s="41" t="n">
        <x:f>ROUND(100*COUNT(I64:S64)/11,0)</x:f>
        <x:v>0</x:v>
      </x:c>
      <x:c r="Z64" s="16" t="str">
        <x:f>IF(AND(J64&lt;&gt;"",K64&gt;0,M64&lt;&gt;"",L64&lt;&gt;"",M64&lt;L64),"表面增长/人口收缩",IF(AND(U64&lt;&gt;"",U64&gt;=80),"财政高度依赖",IF(E64="收缩风险","结构性收缩风险",IF(H64&gt;=75,"单一产业集中风险",""))))</x:f>
      </x:c>
      <x:c r="AA64" s="16" t="str">
        <x:f>"详见“2020-2025时序”逐年来源URL；产业与抓手为研究判断"</x:f>
        <x:v>详见“2020-2025时序”逐年来源URL；产业与抓手为研究判断</x:v>
      </x:c>
    </x:row>
    <x:row r="65">
      <x:c r="A65" s="16" t="str">
        <x:v>抚州市</x:v>
      </x:c>
      <x:c r="B65" s="16" t="str">
        <x:v>广昌县</x:v>
      </x:c>
      <x:c r="C65" s="16" t="str">
        <x:v>白莲、农业加工、电子轻工</x:v>
      </x:c>
      <x:c r="D65" s="16" t="str">
        <x:v>C</x:v>
      </x:c>
      <x:c r="E65" s="16" t="str">
        <x:v>承压型</x:v>
      </x:c>
      <x:c r="F65" s="16" t="str">
        <x:v>农业工业化、品牌电商</x:v>
      </x:c>
      <x:c r="G65" s="18" t="n">
        <x:v>52</x:v>
      </x:c>
      <x:c r="H65" s="18" t="n">
        <x:v>76</x:v>
      </x:c>
      <x:c r="I65" s="18" t="str">
        <x:f>IF(COUNTIFS('2020-2025时序'!$B$2:$B$439,$B65,'2020-2025时序'!$C$2:$C$439,2020,'2020-2025时序'!$D$2:$D$439,"&gt;0")=0,"",SUMIFS('2020-2025时序'!$D$2:$D$439,'2020-2025时序'!$B$2:$B$439,$B65,'2020-2025时序'!$C$2:$C$439,2020))</x:f>
      </x:c>
      <x:c r="J65" s="18" t="str">
        <x:f>IF(COUNTIFS('2020-2025时序'!$B$2:$B$439,$B65,'2020-2025时序'!$C$2:$C$439,2025,'2020-2025时序'!$D$2:$D$439,"&gt;0")=0,"",SUMIFS('2020-2025时序'!$D$2:$D$439,'2020-2025时序'!$B$2:$B$439,$B65,'2020-2025时序'!$C$2:$C$439,2025))</x:f>
      </x:c>
      <x:c r="K65" s="40" t="str">
        <x:f>IF(OR(I65="",J65=""),"",POWER(J65/I65,1/5)-1)</x:f>
      </x:c>
      <x:c r="L65" s="18" t="str">
        <x:f>IF(COUNTIFS('2020-2025时序'!$B$2:$B$439,$B65,'2020-2025时序'!$C$2:$C$439,2020,'2020-2025时序'!$E$2:$E$439,"&gt;0")=0,"",SUMIFS('2020-2025时序'!$E$2:$E$439,'2020-2025时序'!$B$2:$B$439,$B65,'2020-2025时序'!$C$2:$C$439,2020))</x:f>
      </x:c>
      <x:c r="M65" s="18" t="str">
        <x:f>IF(COUNTIFS('2020-2025时序'!$B$2:$B$439,$B65,'2020-2025时序'!$C$2:$C$439,2025,'2020-2025时序'!$E$2:$E$439,"&gt;0")=0,"",SUMIFS('2020-2025时序'!$E$2:$E$439,'2020-2025时序'!$B$2:$B$439,$B65,'2020-2025时序'!$C$2:$C$439,2025))</x:f>
      </x:c>
      <x:c r="N65" s="18" t="str">
        <x:f>IF(COUNTIFS('2020-2025时序'!$B$2:$B$439,$B65,'2020-2025时序'!$C$2:$C$439,2020,'2020-2025时序'!$F$2:$F$439,"&gt;0")=0,"",SUMIFS('2020-2025时序'!$F$2:$F$439,'2020-2025时序'!$B$2:$B$439,$B65,'2020-2025时序'!$C$2:$C$439,2020))</x:f>
      </x:c>
      <x:c r="O65" s="18" t="str">
        <x:f>IF(COUNTIFS('2020-2025时序'!$B$2:$B$439,$B65,'2020-2025时序'!$C$2:$C$439,2025,'2020-2025时序'!$F$2:$F$439,"&gt;0")=0,"",SUMIFS('2020-2025时序'!$F$2:$F$439,'2020-2025时序'!$B$2:$B$439,$B65,'2020-2025时序'!$C$2:$C$439,2025))</x:f>
      </x:c>
      <x:c r="P65" s="18" t="str">
        <x:f>IF(COUNTIFS('2020-2025时序'!$B$2:$B$439,$B65,'2020-2025时序'!$C$2:$C$439,2025,'2020-2025时序'!$G$2:$G$439,"&gt;0")=0,"",SUMIFS('2020-2025时序'!$G$2:$G$439,'2020-2025时序'!$B$2:$B$439,$B65,'2020-2025时序'!$C$2:$C$439,2025))</x:f>
      </x:c>
      <x:c r="Q65" s="18" t="str">
        <x:f>IF(COUNTIFS('2020-2025时序'!$B$2:$B$439,$B65,'2020-2025时序'!$C$2:$C$439,2025,'2020-2025时序'!$H$2:$H$439,"&gt;0")=0,"",SUMIFS('2020-2025时序'!$H$2:$H$439,'2020-2025时序'!$B$2:$B$439,$B65,'2020-2025时序'!$C$2:$C$439,2025))</x:f>
      </x:c>
      <x:c r="R65" s="18" t="str">
        <x:f>IF(COUNTIFS('2020-2025时序'!$B$2:$B$439,$B65,'2020-2025时序'!$C$2:$C$439,2025,'2020-2025时序'!$L$2:$L$439,"&gt;0")=0,"",SUMIFS('2020-2025时序'!$L$2:$L$439,'2020-2025时序'!$B$2:$B$439,$B65,'2020-2025时序'!$C$2:$C$439,2025))</x:f>
      </x:c>
      <x:c r="S65" s="18" t="str">
        <x:f>IF(COUNTIFS('2020-2025时序'!$B$2:$B$439,$B65,'2020-2025时序'!$C$2:$C$439,2025,'2020-2025时序'!$J$2:$J$439,"&gt;0")=0,"",SUMIFS('2020-2025时序'!$J$2:$J$439,'2020-2025时序'!$B$2:$B$439,$B65,'2020-2025时序'!$C$2:$C$439,2025))</x:f>
      </x:c>
      <x:c r="T65" s="41" t="str">
        <x:f>IF(OR(L65="",M65=""),"",IF(OR(N65="",O65=""),MIN(100,MAX(0,-(M65/L65-1)/0.10*100)),0.7*MIN(100,MAX(0,-(M65/L65-1)/0.10*100))+0.3*MIN(100,MAX(0,-(O65/N65-1)/0.50*100))))</x:f>
      </x:c>
      <x:c r="U65" s="41" t="str">
        <x:f>IF(OR(P65="",Q65="",Q65=0),"",MIN(100,MAX(0,100*(1-P65/Q65))))</x:f>
      </x:c>
      <x:c r="V65" s="41" t="str">
        <x:f>IFERROR(MIN(100,100*SUMIFS('2020-2025时序'!$O$2:$O$439,'2020-2025时序'!$B$2:$B$439,$B65,'2020-2025时序'!$C$2:$C$439,2025)/SUMIFS('2020-2025时序'!$J$2:$J$439,'2020-2025时序'!$B$2:$B$439,$B65,'2020-2025时序'!$C$2:$C$439,2025)),"")</x:f>
      </x:c>
      <x:c r="W65" s="41" t="str">
        <x:f>IF(OR(R65="",J65="",J65=0),"",MIN(100,100*R65/J65))</x:f>
      </x:c>
      <x:c r="X65" s="41" t="str">
        <x:f>IF(OR(K65="",T65="",U65="",W65=""),"",0.25*MIN(100,MAX(20,20+K65/0.08*80))+0.20*(100-T65)+0.20*(100-U65)+0.15*G65+0.10*(100-W65)+0.10*G65)</x:f>
      </x:c>
      <x:c r="Y65" s="41" t="n">
        <x:f>ROUND(100*COUNT(I65:S65)/11,0)</x:f>
        <x:v>0</x:v>
      </x:c>
      <x:c r="Z65" s="16" t="str">
        <x:f>IF(AND(J65&lt;&gt;"",K65&gt;0,M65&lt;&gt;"",L65&lt;&gt;"",M65&lt;L65),"表面增长/人口收缩",IF(AND(U65&lt;&gt;"",U65&gt;=80),"财政高度依赖",IF(E65="收缩风险","结构性收缩风险",IF(H65&gt;=75,"单一产业集中风险",""))))</x:f>
        <x:v>单一产业集中风险</x:v>
      </x:c>
      <x:c r="AA65" s="16" t="str">
        <x:f>"详见“2020-2025时序”逐年来源URL；产业与抓手为研究判断"</x:f>
        <x:v>详见“2020-2025时序”逐年来源URL；产业与抓手为研究判断</x:v>
      </x:c>
    </x:row>
    <x:row r="66">
      <x:c r="A66" s="16" t="str">
        <x:v>上饶市</x:v>
      </x:c>
      <x:c r="B66" s="16" t="str">
        <x:v>玉山县</x:v>
      </x:c>
      <x:c r="C66" s="16" t="str">
        <x:v>装备/轴承、电子、新材料、旅游</x:v>
      </x:c>
      <x:c r="D66" s="16" t="str">
        <x:v>B+</x:v>
      </x:c>
      <x:c r="E66" s="16" t="str">
        <x:v>转型增长型</x:v>
      </x:c>
      <x:c r="F66" s="16" t="str">
        <x:v>长三角产业承接</x:v>
      </x:c>
      <x:c r="G66" s="18" t="n">
        <x:v>77</x:v>
      </x:c>
      <x:c r="H66" s="18" t="n">
        <x:v>46</x:v>
      </x:c>
      <x:c r="I66" s="18" t="n">
        <x:f>IF(COUNTIFS('2020-2025时序'!$B$2:$B$439,$B66,'2020-2025时序'!$C$2:$C$439,2020,'2020-2025时序'!$D$2:$D$439,"&gt;0")=0,"",SUMIFS('2020-2025时序'!$D$2:$D$439,'2020-2025时序'!$B$2:$B$439,$B66,'2020-2025时序'!$C$2:$C$439,2020))</x:f>
        <x:v>225.87</x:v>
      </x:c>
      <x:c r="J66" s="18" t="str">
        <x:f>IF(COUNTIFS('2020-2025时序'!$B$2:$B$439,$B66,'2020-2025时序'!$C$2:$C$439,2025,'2020-2025时序'!$D$2:$D$439,"&gt;0")=0,"",SUMIFS('2020-2025时序'!$D$2:$D$439,'2020-2025时序'!$B$2:$B$439,$B66,'2020-2025时序'!$C$2:$C$439,2025))</x:f>
      </x:c>
      <x:c r="K66" s="40" t="str">
        <x:f>IF(OR(I66="",J66=""),"",POWER(J66/I66,1/5)-1)</x:f>
      </x:c>
      <x:c r="L66" s="18" t="str">
        <x:f>IF(COUNTIFS('2020-2025时序'!$B$2:$B$439,$B66,'2020-2025时序'!$C$2:$C$439,2020,'2020-2025时序'!$E$2:$E$439,"&gt;0")=0,"",SUMIFS('2020-2025时序'!$E$2:$E$439,'2020-2025时序'!$B$2:$B$439,$B66,'2020-2025时序'!$C$2:$C$439,2020))</x:f>
      </x:c>
      <x:c r="M66" s="18" t="str">
        <x:f>IF(COUNTIFS('2020-2025时序'!$B$2:$B$439,$B66,'2020-2025时序'!$C$2:$C$439,2025,'2020-2025时序'!$E$2:$E$439,"&gt;0")=0,"",SUMIFS('2020-2025时序'!$E$2:$E$439,'2020-2025时序'!$B$2:$B$439,$B66,'2020-2025时序'!$C$2:$C$439,2025))</x:f>
      </x:c>
      <x:c r="N66" s="18" t="str">
        <x:f>IF(COUNTIFS('2020-2025时序'!$B$2:$B$439,$B66,'2020-2025时序'!$C$2:$C$439,2020,'2020-2025时序'!$F$2:$F$439,"&gt;0")=0,"",SUMIFS('2020-2025时序'!$F$2:$F$439,'2020-2025时序'!$B$2:$B$439,$B66,'2020-2025时序'!$C$2:$C$439,2020))</x:f>
      </x:c>
      <x:c r="O66" s="18" t="str">
        <x:f>IF(COUNTIFS('2020-2025时序'!$B$2:$B$439,$B66,'2020-2025时序'!$C$2:$C$439,2025,'2020-2025时序'!$F$2:$F$439,"&gt;0")=0,"",SUMIFS('2020-2025时序'!$F$2:$F$439,'2020-2025时序'!$B$2:$B$439,$B66,'2020-2025时序'!$C$2:$C$439,2025))</x:f>
      </x:c>
      <x:c r="P66" s="18" t="str">
        <x:f>IF(COUNTIFS('2020-2025时序'!$B$2:$B$439,$B66,'2020-2025时序'!$C$2:$C$439,2025,'2020-2025时序'!$G$2:$G$439,"&gt;0")=0,"",SUMIFS('2020-2025时序'!$G$2:$G$439,'2020-2025时序'!$B$2:$B$439,$B66,'2020-2025时序'!$C$2:$C$439,2025))</x:f>
      </x:c>
      <x:c r="Q66" s="18" t="str">
        <x:f>IF(COUNTIFS('2020-2025时序'!$B$2:$B$439,$B66,'2020-2025时序'!$C$2:$C$439,2025,'2020-2025时序'!$H$2:$H$439,"&gt;0")=0,"",SUMIFS('2020-2025时序'!$H$2:$H$439,'2020-2025时序'!$B$2:$B$439,$B66,'2020-2025时序'!$C$2:$C$439,2025))</x:f>
      </x:c>
      <x:c r="R66" s="18" t="str">
        <x:f>IF(COUNTIFS('2020-2025时序'!$B$2:$B$439,$B66,'2020-2025时序'!$C$2:$C$439,2025,'2020-2025时序'!$L$2:$L$439,"&gt;0")=0,"",SUMIFS('2020-2025时序'!$L$2:$L$439,'2020-2025时序'!$B$2:$B$439,$B66,'2020-2025时序'!$C$2:$C$439,2025))</x:f>
      </x:c>
      <x:c r="S66" s="18" t="str">
        <x:f>IF(COUNTIFS('2020-2025时序'!$B$2:$B$439,$B66,'2020-2025时序'!$C$2:$C$439,2025,'2020-2025时序'!$J$2:$J$439,"&gt;0")=0,"",SUMIFS('2020-2025时序'!$J$2:$J$439,'2020-2025时序'!$B$2:$B$439,$B66,'2020-2025时序'!$C$2:$C$439,2025))</x:f>
      </x:c>
      <x:c r="T66" s="41" t="str">
        <x:f>IF(OR(L66="",M66=""),"",IF(OR(N66="",O66=""),MIN(100,MAX(0,-(M66/L66-1)/0.10*100)),0.7*MIN(100,MAX(0,-(M66/L66-1)/0.10*100))+0.3*MIN(100,MAX(0,-(O66/N66-1)/0.50*100))))</x:f>
      </x:c>
      <x:c r="U66" s="41" t="str">
        <x:f>IF(OR(P66="",Q66="",Q66=0),"",MIN(100,MAX(0,100*(1-P66/Q66))))</x:f>
      </x:c>
      <x:c r="V66" s="41" t="str">
        <x:f>IFERROR(MIN(100,100*SUMIFS('2020-2025时序'!$O$2:$O$439,'2020-2025时序'!$B$2:$B$439,$B66,'2020-2025时序'!$C$2:$C$439,2025)/SUMIFS('2020-2025时序'!$J$2:$J$439,'2020-2025时序'!$B$2:$B$439,$B66,'2020-2025时序'!$C$2:$C$439,2025)),"")</x:f>
      </x:c>
      <x:c r="W66" s="41" t="str">
        <x:f>IF(OR(R66="",J66="",J66=0),"",MIN(100,100*R66/J66))</x:f>
      </x:c>
      <x:c r="X66" s="41" t="str">
        <x:f>IF(OR(K66="",T66="",U66="",W66=""),"",0.25*MIN(100,MAX(20,20+K66/0.08*80))+0.20*(100-T66)+0.20*(100-U66)+0.15*G66+0.10*(100-W66)+0.10*G66)</x:f>
      </x:c>
      <x:c r="Y66" s="41" t="n">
        <x:f>ROUND(100*COUNT(I66:S66)/11,0)</x:f>
        <x:v>9</x:v>
      </x:c>
      <x:c r="Z66" s="16" t="str">
        <x:f>IF(AND(J66&lt;&gt;"",K66&gt;0,M66&lt;&gt;"",L66&lt;&gt;"",M66&lt;L66),"表面增长/人口收缩",IF(AND(U66&lt;&gt;"",U66&gt;=80),"财政高度依赖",IF(E66="收缩风险","结构性收缩风险",IF(H66&gt;=75,"单一产业集中风险",""))))</x:f>
      </x:c>
      <x:c r="AA66" s="16" t="str">
        <x:f>"详见“2020-2025时序”逐年来源URL；产业与抓手为研究判断"</x:f>
        <x:v>详见“2020-2025时序”逐年来源URL；产业与抓手为研究判断</x:v>
      </x:c>
    </x:row>
    <x:row r="67">
      <x:c r="A67" s="16" t="str">
        <x:v>上饶市</x:v>
      </x:c>
      <x:c r="B67" s="16" t="str">
        <x:v>铅山县</x:v>
      </x:c>
      <x:c r="C67" s="16" t="str">
        <x:v>有色、新材料、食品、旅游</x:v>
      </x:c>
      <x:c r="D67" s="16" t="str">
        <x:v>B</x:v>
      </x:c>
      <x:c r="E67" s="16" t="str">
        <x:v>转型型</x:v>
      </x:c>
      <x:c r="F67" s="16" t="str">
        <x:v>有色深加工、武夷山生态经济</x:v>
      </x:c>
      <x:c r="G67" s="18" t="n">
        <x:v>68</x:v>
      </x:c>
      <x:c r="H67" s="18" t="n">
        <x:v>46</x:v>
      </x:c>
      <x:c r="I67" s="18" t="n">
        <x:f>IF(COUNTIFS('2020-2025时序'!$B$2:$B$439,$B67,'2020-2025时序'!$C$2:$C$439,2020,'2020-2025时序'!$D$2:$D$439,"&gt;0")=0,"",SUMIFS('2020-2025时序'!$D$2:$D$439,'2020-2025时序'!$B$2:$B$439,$B67,'2020-2025时序'!$C$2:$C$439,2020))</x:f>
        <x:v>160.41</x:v>
      </x:c>
      <x:c r="J67" s="18" t="str">
        <x:f>IF(COUNTIFS('2020-2025时序'!$B$2:$B$439,$B67,'2020-2025时序'!$C$2:$C$439,2025,'2020-2025时序'!$D$2:$D$439,"&gt;0")=0,"",SUMIFS('2020-2025时序'!$D$2:$D$439,'2020-2025时序'!$B$2:$B$439,$B67,'2020-2025时序'!$C$2:$C$439,2025))</x:f>
      </x:c>
      <x:c r="K67" s="40" t="str">
        <x:f>IF(OR(I67="",J67=""),"",POWER(J67/I67,1/5)-1)</x:f>
      </x:c>
      <x:c r="L67" s="18" t="str">
        <x:f>IF(COUNTIFS('2020-2025时序'!$B$2:$B$439,$B67,'2020-2025时序'!$C$2:$C$439,2020,'2020-2025时序'!$E$2:$E$439,"&gt;0")=0,"",SUMIFS('2020-2025时序'!$E$2:$E$439,'2020-2025时序'!$B$2:$B$439,$B67,'2020-2025时序'!$C$2:$C$439,2020))</x:f>
      </x:c>
      <x:c r="M67" s="18" t="str">
        <x:f>IF(COUNTIFS('2020-2025时序'!$B$2:$B$439,$B67,'2020-2025时序'!$C$2:$C$439,2025,'2020-2025时序'!$E$2:$E$439,"&gt;0")=0,"",SUMIFS('2020-2025时序'!$E$2:$E$439,'2020-2025时序'!$B$2:$B$439,$B67,'2020-2025时序'!$C$2:$C$439,2025))</x:f>
      </x:c>
      <x:c r="N67" s="18" t="str">
        <x:f>IF(COUNTIFS('2020-2025时序'!$B$2:$B$439,$B67,'2020-2025时序'!$C$2:$C$439,2020,'2020-2025时序'!$F$2:$F$439,"&gt;0")=0,"",SUMIFS('2020-2025时序'!$F$2:$F$439,'2020-2025时序'!$B$2:$B$439,$B67,'2020-2025时序'!$C$2:$C$439,2020))</x:f>
      </x:c>
      <x:c r="O67" s="18" t="str">
        <x:f>IF(COUNTIFS('2020-2025时序'!$B$2:$B$439,$B67,'2020-2025时序'!$C$2:$C$439,2025,'2020-2025时序'!$F$2:$F$439,"&gt;0")=0,"",SUMIFS('2020-2025时序'!$F$2:$F$439,'2020-2025时序'!$B$2:$B$439,$B67,'2020-2025时序'!$C$2:$C$439,2025))</x:f>
      </x:c>
      <x:c r="P67" s="18" t="str">
        <x:f>IF(COUNTIFS('2020-2025时序'!$B$2:$B$439,$B67,'2020-2025时序'!$C$2:$C$439,2025,'2020-2025时序'!$G$2:$G$439,"&gt;0")=0,"",SUMIFS('2020-2025时序'!$G$2:$G$439,'2020-2025时序'!$B$2:$B$439,$B67,'2020-2025时序'!$C$2:$C$439,2025))</x:f>
      </x:c>
      <x:c r="Q67" s="18" t="str">
        <x:f>IF(COUNTIFS('2020-2025时序'!$B$2:$B$439,$B67,'2020-2025时序'!$C$2:$C$439,2025,'2020-2025时序'!$H$2:$H$439,"&gt;0")=0,"",SUMIFS('2020-2025时序'!$H$2:$H$439,'2020-2025时序'!$B$2:$B$439,$B67,'2020-2025时序'!$C$2:$C$439,2025))</x:f>
      </x:c>
      <x:c r="R67" s="18" t="str">
        <x:f>IF(COUNTIFS('2020-2025时序'!$B$2:$B$439,$B67,'2020-2025时序'!$C$2:$C$439,2025,'2020-2025时序'!$L$2:$L$439,"&gt;0")=0,"",SUMIFS('2020-2025时序'!$L$2:$L$439,'2020-2025时序'!$B$2:$B$439,$B67,'2020-2025时序'!$C$2:$C$439,2025))</x:f>
      </x:c>
      <x:c r="S67" s="18" t="str">
        <x:f>IF(COUNTIFS('2020-2025时序'!$B$2:$B$439,$B67,'2020-2025时序'!$C$2:$C$439,2025,'2020-2025时序'!$J$2:$J$439,"&gt;0")=0,"",SUMIFS('2020-2025时序'!$J$2:$J$439,'2020-2025时序'!$B$2:$B$439,$B67,'2020-2025时序'!$C$2:$C$439,2025))</x:f>
      </x:c>
      <x:c r="T67" s="41" t="str">
        <x:f>IF(OR(L67="",M67=""),"",IF(OR(N67="",O67=""),MIN(100,MAX(0,-(M67/L67-1)/0.10*100)),0.7*MIN(100,MAX(0,-(M67/L67-1)/0.10*100))+0.3*MIN(100,MAX(0,-(O67/N67-1)/0.50*100))))</x:f>
      </x:c>
      <x:c r="U67" s="41" t="str">
        <x:f>IF(OR(P67="",Q67="",Q67=0),"",MIN(100,MAX(0,100*(1-P67/Q67))))</x:f>
      </x:c>
      <x:c r="V67" s="41" t="str">
        <x:f>IFERROR(MIN(100,100*SUMIFS('2020-2025时序'!$O$2:$O$439,'2020-2025时序'!$B$2:$B$439,$B67,'2020-2025时序'!$C$2:$C$439,2025)/SUMIFS('2020-2025时序'!$J$2:$J$439,'2020-2025时序'!$B$2:$B$439,$B67,'2020-2025时序'!$C$2:$C$439,2025)),"")</x:f>
      </x:c>
      <x:c r="W67" s="41" t="str">
        <x:f>IF(OR(R67="",J67="",J67=0),"",MIN(100,100*R67/J67))</x:f>
      </x:c>
      <x:c r="X67" s="41" t="str">
        <x:f>IF(OR(K67="",T67="",U67="",W67=""),"",0.25*MIN(100,MAX(20,20+K67/0.08*80))+0.20*(100-T67)+0.20*(100-U67)+0.15*G67+0.10*(100-W67)+0.10*G67)</x:f>
      </x:c>
      <x:c r="Y67" s="41" t="n">
        <x:f>ROUND(100*COUNT(I67:S67)/11,0)</x:f>
        <x:v>9</x:v>
      </x:c>
      <x:c r="Z67" s="16" t="str">
        <x:f>IF(AND(J67&lt;&gt;"",K67&gt;0,M67&lt;&gt;"",L67&lt;&gt;"",M67&lt;L67),"表面增长/人口收缩",IF(AND(U67&lt;&gt;"",U67&gt;=80),"财政高度依赖",IF(E67="收缩风险","结构性收缩风险",IF(H67&gt;=75,"单一产业集中风险",""))))</x:f>
      </x:c>
      <x:c r="AA67" s="16" t="str">
        <x:f>"详见“2020-2025时序”逐年来源URL；产业与抓手为研究判断"</x:f>
        <x:v>详见“2020-2025时序”逐年来源URL；产业与抓手为研究判断</x:v>
      </x:c>
    </x:row>
    <x:row r="68">
      <x:c r="A68" s="16" t="str">
        <x:v>上饶市</x:v>
      </x:c>
      <x:c r="B68" s="16" t="str">
        <x:v>横峰县</x:v>
      </x:c>
      <x:c r="C68" s="16" t="str">
        <x:v>有色/新材料、农业、轻工</x:v>
      </x:c>
      <x:c r="D68" s="16" t="str">
        <x:v>C+/B-</x:v>
      </x:c>
      <x:c r="E68" s="16" t="str">
        <x:v>承压型</x:v>
      </x:c>
      <x:c r="F68" s="16" t="str">
        <x:v>上饶都市圈产业承接</x:v>
      </x:c>
      <x:c r="G68" s="18" t="n">
        <x:v>60</x:v>
      </x:c>
      <x:c r="H68" s="18" t="n">
        <x:v>56</x:v>
      </x:c>
      <x:c r="I68" s="18" t="n">
        <x:f>IF(COUNTIFS('2020-2025时序'!$B$2:$B$439,$B68,'2020-2025时序'!$C$2:$C$439,2020,'2020-2025时序'!$D$2:$D$439,"&gt;0")=0,"",SUMIFS('2020-2025时序'!$D$2:$D$439,'2020-2025时序'!$B$2:$B$439,$B68,'2020-2025时序'!$C$2:$C$439,2020))</x:f>
        <x:v>86.4442</x:v>
      </x:c>
      <x:c r="J68" s="18" t="str">
        <x:f>IF(COUNTIFS('2020-2025时序'!$B$2:$B$439,$B68,'2020-2025时序'!$C$2:$C$439,2025,'2020-2025时序'!$D$2:$D$439,"&gt;0")=0,"",SUMIFS('2020-2025时序'!$D$2:$D$439,'2020-2025时序'!$B$2:$B$439,$B68,'2020-2025时序'!$C$2:$C$439,2025))</x:f>
      </x:c>
      <x:c r="K68" s="40" t="str">
        <x:f>IF(OR(I68="",J68=""),"",POWER(J68/I68,1/5)-1)</x:f>
      </x:c>
      <x:c r="L68" s="18" t="str">
        <x:f>IF(COUNTIFS('2020-2025时序'!$B$2:$B$439,$B68,'2020-2025时序'!$C$2:$C$439,2020,'2020-2025时序'!$E$2:$E$439,"&gt;0")=0,"",SUMIFS('2020-2025时序'!$E$2:$E$439,'2020-2025时序'!$B$2:$B$439,$B68,'2020-2025时序'!$C$2:$C$439,2020))</x:f>
      </x:c>
      <x:c r="M68" s="18" t="str">
        <x:f>IF(COUNTIFS('2020-2025时序'!$B$2:$B$439,$B68,'2020-2025时序'!$C$2:$C$439,2025,'2020-2025时序'!$E$2:$E$439,"&gt;0")=0,"",SUMIFS('2020-2025时序'!$E$2:$E$439,'2020-2025时序'!$B$2:$B$439,$B68,'2020-2025时序'!$C$2:$C$439,2025))</x:f>
      </x:c>
      <x:c r="N68" s="18" t="str">
        <x:f>IF(COUNTIFS('2020-2025时序'!$B$2:$B$439,$B68,'2020-2025时序'!$C$2:$C$439,2020,'2020-2025时序'!$F$2:$F$439,"&gt;0")=0,"",SUMIFS('2020-2025时序'!$F$2:$F$439,'2020-2025时序'!$B$2:$B$439,$B68,'2020-2025时序'!$C$2:$C$439,2020))</x:f>
      </x:c>
      <x:c r="O68" s="18" t="str">
        <x:f>IF(COUNTIFS('2020-2025时序'!$B$2:$B$439,$B68,'2020-2025时序'!$C$2:$C$439,2025,'2020-2025时序'!$F$2:$F$439,"&gt;0")=0,"",SUMIFS('2020-2025时序'!$F$2:$F$439,'2020-2025时序'!$B$2:$B$439,$B68,'2020-2025时序'!$C$2:$C$439,2025))</x:f>
      </x:c>
      <x:c r="P68" s="18" t="str">
        <x:f>IF(COUNTIFS('2020-2025时序'!$B$2:$B$439,$B68,'2020-2025时序'!$C$2:$C$439,2025,'2020-2025时序'!$G$2:$G$439,"&gt;0")=0,"",SUMIFS('2020-2025时序'!$G$2:$G$439,'2020-2025时序'!$B$2:$B$439,$B68,'2020-2025时序'!$C$2:$C$439,2025))</x:f>
      </x:c>
      <x:c r="Q68" s="18" t="str">
        <x:f>IF(COUNTIFS('2020-2025时序'!$B$2:$B$439,$B68,'2020-2025时序'!$C$2:$C$439,2025,'2020-2025时序'!$H$2:$H$439,"&gt;0")=0,"",SUMIFS('2020-2025时序'!$H$2:$H$439,'2020-2025时序'!$B$2:$B$439,$B68,'2020-2025时序'!$C$2:$C$439,2025))</x:f>
      </x:c>
      <x:c r="R68" s="18" t="str">
        <x:f>IF(COUNTIFS('2020-2025时序'!$B$2:$B$439,$B68,'2020-2025时序'!$C$2:$C$439,2025,'2020-2025时序'!$L$2:$L$439,"&gt;0")=0,"",SUMIFS('2020-2025时序'!$L$2:$L$439,'2020-2025时序'!$B$2:$B$439,$B68,'2020-2025时序'!$C$2:$C$439,2025))</x:f>
      </x:c>
      <x:c r="S68" s="18" t="str">
        <x:f>IF(COUNTIFS('2020-2025时序'!$B$2:$B$439,$B68,'2020-2025时序'!$C$2:$C$439,2025,'2020-2025时序'!$J$2:$J$439,"&gt;0")=0,"",SUMIFS('2020-2025时序'!$J$2:$J$439,'2020-2025时序'!$B$2:$B$439,$B68,'2020-2025时序'!$C$2:$C$439,2025))</x:f>
      </x:c>
      <x:c r="T68" s="41" t="str">
        <x:f>IF(OR(L68="",M68=""),"",IF(OR(N68="",O68=""),MIN(100,MAX(0,-(M68/L68-1)/0.10*100)),0.7*MIN(100,MAX(0,-(M68/L68-1)/0.10*100))+0.3*MIN(100,MAX(0,-(O68/N68-1)/0.50*100))))</x:f>
      </x:c>
      <x:c r="U68" s="41" t="str">
        <x:f>IF(OR(P68="",Q68="",Q68=0),"",MIN(100,MAX(0,100*(1-P68/Q68))))</x:f>
      </x:c>
      <x:c r="V68" s="41" t="str">
        <x:f>IFERROR(MIN(100,100*SUMIFS('2020-2025时序'!$O$2:$O$439,'2020-2025时序'!$B$2:$B$439,$B68,'2020-2025时序'!$C$2:$C$439,2025)/SUMIFS('2020-2025时序'!$J$2:$J$439,'2020-2025时序'!$B$2:$B$439,$B68,'2020-2025时序'!$C$2:$C$439,2025)),"")</x:f>
      </x:c>
      <x:c r="W68" s="41" t="str">
        <x:f>IF(OR(R68="",J68="",J68=0),"",MIN(100,100*R68/J68))</x:f>
      </x:c>
      <x:c r="X68" s="41" t="str">
        <x:f>IF(OR(K68="",T68="",U68="",W68=""),"",0.25*MIN(100,MAX(20,20+K68/0.08*80))+0.20*(100-T68)+0.20*(100-U68)+0.15*G68+0.10*(100-W68)+0.10*G68)</x:f>
      </x:c>
      <x:c r="Y68" s="41" t="n">
        <x:f>ROUND(100*COUNT(I68:S68)/11,0)</x:f>
        <x:v>9</x:v>
      </x:c>
      <x:c r="Z68" s="16" t="str">
        <x:f>IF(AND(J68&lt;&gt;"",K68&gt;0,M68&lt;&gt;"",L68&lt;&gt;"",M68&lt;L68),"表面增长/人口收缩",IF(AND(U68&lt;&gt;"",U68&gt;=80),"财政高度依赖",IF(E68="收缩风险","结构性收缩风险",IF(H68&gt;=75,"单一产业集中风险",""))))</x:f>
      </x:c>
      <x:c r="AA68" s="16" t="str">
        <x:f>"详见“2020-2025时序”逐年来源URL；产业与抓手为研究判断"</x:f>
        <x:v>详见“2020-2025时序”逐年来源URL；产业与抓手为研究判断</x:v>
      </x:c>
    </x:row>
    <x:row r="69">
      <x:c r="A69" s="16" t="str">
        <x:v>上饶市</x:v>
      </x:c>
      <x:c r="B69" s="16" t="str">
        <x:v>弋阳县</x:v>
      </x:c>
      <x:c r="C69" s="16" t="str">
        <x:v>非金属新材料、装备、文旅</x:v>
      </x:c>
      <x:c r="D69" s="16" t="str">
        <x:v>B+</x:v>
      </x:c>
      <x:c r="E69" s="16" t="str">
        <x:v>转型增长型</x:v>
      </x:c>
      <x:c r="F69" s="16" t="str">
        <x:v>矿物深加工、高端材料</x:v>
      </x:c>
      <x:c r="G69" s="18" t="n">
        <x:v>77</x:v>
      </x:c>
      <x:c r="H69" s="18" t="n">
        <x:v>56</x:v>
      </x:c>
      <x:c r="I69" s="18" t="n">
        <x:f>IF(COUNTIFS('2020-2025时序'!$B$2:$B$439,$B69,'2020-2025时序'!$C$2:$C$439,2020,'2020-2025时序'!$D$2:$D$439,"&gt;0")=0,"",SUMIFS('2020-2025时序'!$D$2:$D$439,'2020-2025时序'!$B$2:$B$439,$B69,'2020-2025时序'!$C$2:$C$439,2020))</x:f>
        <x:v>128.0483</x:v>
      </x:c>
      <x:c r="J69" s="18" t="str">
        <x:f>IF(COUNTIFS('2020-2025时序'!$B$2:$B$439,$B69,'2020-2025时序'!$C$2:$C$439,2025,'2020-2025时序'!$D$2:$D$439,"&gt;0")=0,"",SUMIFS('2020-2025时序'!$D$2:$D$439,'2020-2025时序'!$B$2:$B$439,$B69,'2020-2025时序'!$C$2:$C$439,2025))</x:f>
      </x:c>
      <x:c r="K69" s="40" t="str">
        <x:f>IF(OR(I69="",J69=""),"",POWER(J69/I69,1/5)-1)</x:f>
      </x:c>
      <x:c r="L69" s="18" t="str">
        <x:f>IF(COUNTIFS('2020-2025时序'!$B$2:$B$439,$B69,'2020-2025时序'!$C$2:$C$439,2020,'2020-2025时序'!$E$2:$E$439,"&gt;0")=0,"",SUMIFS('2020-2025时序'!$E$2:$E$439,'2020-2025时序'!$B$2:$B$439,$B69,'2020-2025时序'!$C$2:$C$439,2020))</x:f>
      </x:c>
      <x:c r="M69" s="18" t="str">
        <x:f>IF(COUNTIFS('2020-2025时序'!$B$2:$B$439,$B69,'2020-2025时序'!$C$2:$C$439,2025,'2020-2025时序'!$E$2:$E$439,"&gt;0")=0,"",SUMIFS('2020-2025时序'!$E$2:$E$439,'2020-2025时序'!$B$2:$B$439,$B69,'2020-2025时序'!$C$2:$C$439,2025))</x:f>
      </x:c>
      <x:c r="N69" s="18" t="str">
        <x:f>IF(COUNTIFS('2020-2025时序'!$B$2:$B$439,$B69,'2020-2025时序'!$C$2:$C$439,2020,'2020-2025时序'!$F$2:$F$439,"&gt;0")=0,"",SUMIFS('2020-2025时序'!$F$2:$F$439,'2020-2025时序'!$B$2:$B$439,$B69,'2020-2025时序'!$C$2:$C$439,2020))</x:f>
      </x:c>
      <x:c r="O69" s="18" t="str">
        <x:f>IF(COUNTIFS('2020-2025时序'!$B$2:$B$439,$B69,'2020-2025时序'!$C$2:$C$439,2025,'2020-2025时序'!$F$2:$F$439,"&gt;0")=0,"",SUMIFS('2020-2025时序'!$F$2:$F$439,'2020-2025时序'!$B$2:$B$439,$B69,'2020-2025时序'!$C$2:$C$439,2025))</x:f>
      </x:c>
      <x:c r="P69" s="18" t="str">
        <x:f>IF(COUNTIFS('2020-2025时序'!$B$2:$B$439,$B69,'2020-2025时序'!$C$2:$C$439,2025,'2020-2025时序'!$G$2:$G$439,"&gt;0")=0,"",SUMIFS('2020-2025时序'!$G$2:$G$439,'2020-2025时序'!$B$2:$B$439,$B69,'2020-2025时序'!$C$2:$C$439,2025))</x:f>
      </x:c>
      <x:c r="Q69" s="18" t="str">
        <x:f>IF(COUNTIFS('2020-2025时序'!$B$2:$B$439,$B69,'2020-2025时序'!$C$2:$C$439,2025,'2020-2025时序'!$H$2:$H$439,"&gt;0")=0,"",SUMIFS('2020-2025时序'!$H$2:$H$439,'2020-2025时序'!$B$2:$B$439,$B69,'2020-2025时序'!$C$2:$C$439,2025))</x:f>
      </x:c>
      <x:c r="R69" s="18" t="str">
        <x:f>IF(COUNTIFS('2020-2025时序'!$B$2:$B$439,$B69,'2020-2025时序'!$C$2:$C$439,2025,'2020-2025时序'!$L$2:$L$439,"&gt;0")=0,"",SUMIFS('2020-2025时序'!$L$2:$L$439,'2020-2025时序'!$B$2:$B$439,$B69,'2020-2025时序'!$C$2:$C$439,2025))</x:f>
      </x:c>
      <x:c r="S69" s="18" t="str">
        <x:f>IF(COUNTIFS('2020-2025时序'!$B$2:$B$439,$B69,'2020-2025时序'!$C$2:$C$439,2025,'2020-2025时序'!$J$2:$J$439,"&gt;0")=0,"",SUMIFS('2020-2025时序'!$J$2:$J$439,'2020-2025时序'!$B$2:$B$439,$B69,'2020-2025时序'!$C$2:$C$439,2025))</x:f>
      </x:c>
      <x:c r="T69" s="41" t="str">
        <x:f>IF(OR(L69="",M69=""),"",IF(OR(N69="",O69=""),MIN(100,MAX(0,-(M69/L69-1)/0.10*100)),0.7*MIN(100,MAX(0,-(M69/L69-1)/0.10*100))+0.3*MIN(100,MAX(0,-(O69/N69-1)/0.50*100))))</x:f>
      </x:c>
      <x:c r="U69" s="41" t="str">
        <x:f>IF(OR(P69="",Q69="",Q69=0),"",MIN(100,MAX(0,100*(1-P69/Q69))))</x:f>
      </x:c>
      <x:c r="V69" s="41" t="str">
        <x:f>IFERROR(MIN(100,100*SUMIFS('2020-2025时序'!$O$2:$O$439,'2020-2025时序'!$B$2:$B$439,$B69,'2020-2025时序'!$C$2:$C$439,2025)/SUMIFS('2020-2025时序'!$J$2:$J$439,'2020-2025时序'!$B$2:$B$439,$B69,'2020-2025时序'!$C$2:$C$439,2025)),"")</x:f>
      </x:c>
      <x:c r="W69" s="41" t="str">
        <x:f>IF(OR(R69="",J69="",J69=0),"",MIN(100,100*R69/J69))</x:f>
      </x:c>
      <x:c r="X69" s="41" t="str">
        <x:f>IF(OR(K69="",T69="",U69="",W69=""),"",0.25*MIN(100,MAX(20,20+K69/0.08*80))+0.20*(100-T69)+0.20*(100-U69)+0.15*G69+0.10*(100-W69)+0.10*G69)</x:f>
      </x:c>
      <x:c r="Y69" s="41" t="n">
        <x:f>ROUND(100*COUNT(I69:S69)/11,0)</x:f>
        <x:v>9</x:v>
      </x:c>
      <x:c r="Z69" s="16" t="str">
        <x:f>IF(AND(J69&lt;&gt;"",K69&gt;0,M69&lt;&gt;"",L69&lt;&gt;"",M69&lt;L69),"表面增长/人口收缩",IF(AND(U69&lt;&gt;"",U69&gt;=80),"财政高度依赖",IF(E69="收缩风险","结构性收缩风险",IF(H69&gt;=75,"单一产业集中风险",""))))</x:f>
      </x:c>
      <x:c r="AA69" s="16" t="str">
        <x:f>"详见“2020-2025时序”逐年来源URL；产业与抓手为研究判断"</x:f>
        <x:v>详见“2020-2025时序”逐年来源URL；产业与抓手为研究判断</x:v>
      </x:c>
    </x:row>
    <x:row r="70">
      <x:c r="A70" s="16" t="str">
        <x:v>上饶市</x:v>
      </x:c>
      <x:c r="B70" s="16" t="str">
        <x:v>余干县</x:v>
      </x:c>
      <x:c r="C70" s="16" t="str">
        <x:v>水产农业、食品、承接型制造</x:v>
      </x:c>
      <x:c r="D70" s="16" t="str">
        <x:v>C+</x:v>
      </x:c>
      <x:c r="E70" s="16" t="str">
        <x:v>承压型</x:v>
      </x:c>
      <x:c r="F70" s="16" t="str">
        <x:v>南昌都市圈、农业加工</x:v>
      </x:c>
      <x:c r="G70" s="18" t="n">
        <x:v>58</x:v>
      </x:c>
      <x:c r="H70" s="18" t="n">
        <x:v>48</x:v>
      </x:c>
      <x:c r="I70" s="18" t="n">
        <x:f>IF(COUNTIFS('2020-2025时序'!$B$2:$B$439,$B70,'2020-2025时序'!$C$2:$C$439,2020,'2020-2025时序'!$D$2:$D$439,"&gt;0")=0,"",SUMIFS('2020-2025时序'!$D$2:$D$439,'2020-2025时序'!$B$2:$B$439,$B70,'2020-2025时序'!$C$2:$C$439,2020))</x:f>
        <x:v>208.22</x:v>
      </x:c>
      <x:c r="J70" s="18" t="str">
        <x:f>IF(COUNTIFS('2020-2025时序'!$B$2:$B$439,$B70,'2020-2025时序'!$C$2:$C$439,2025,'2020-2025时序'!$D$2:$D$439,"&gt;0")=0,"",SUMIFS('2020-2025时序'!$D$2:$D$439,'2020-2025时序'!$B$2:$B$439,$B70,'2020-2025时序'!$C$2:$C$439,2025))</x:f>
      </x:c>
      <x:c r="K70" s="40" t="str">
        <x:f>IF(OR(I70="",J70=""),"",POWER(J70/I70,1/5)-1)</x:f>
      </x:c>
      <x:c r="L70" s="18" t="str">
        <x:f>IF(COUNTIFS('2020-2025时序'!$B$2:$B$439,$B70,'2020-2025时序'!$C$2:$C$439,2020,'2020-2025时序'!$E$2:$E$439,"&gt;0")=0,"",SUMIFS('2020-2025时序'!$E$2:$E$439,'2020-2025时序'!$B$2:$B$439,$B70,'2020-2025时序'!$C$2:$C$439,2020))</x:f>
      </x:c>
      <x:c r="M70" s="18" t="str">
        <x:f>IF(COUNTIFS('2020-2025时序'!$B$2:$B$439,$B70,'2020-2025时序'!$C$2:$C$439,2025,'2020-2025时序'!$E$2:$E$439,"&gt;0")=0,"",SUMIFS('2020-2025时序'!$E$2:$E$439,'2020-2025时序'!$B$2:$B$439,$B70,'2020-2025时序'!$C$2:$C$439,2025))</x:f>
      </x:c>
      <x:c r="N70" s="18" t="str">
        <x:f>IF(COUNTIFS('2020-2025时序'!$B$2:$B$439,$B70,'2020-2025时序'!$C$2:$C$439,2020,'2020-2025时序'!$F$2:$F$439,"&gt;0")=0,"",SUMIFS('2020-2025时序'!$F$2:$F$439,'2020-2025时序'!$B$2:$B$439,$B70,'2020-2025时序'!$C$2:$C$439,2020))</x:f>
      </x:c>
      <x:c r="O70" s="18" t="str">
        <x:f>IF(COUNTIFS('2020-2025时序'!$B$2:$B$439,$B70,'2020-2025时序'!$C$2:$C$439,2025,'2020-2025时序'!$F$2:$F$439,"&gt;0")=0,"",SUMIFS('2020-2025时序'!$F$2:$F$439,'2020-2025时序'!$B$2:$B$439,$B70,'2020-2025时序'!$C$2:$C$439,2025))</x:f>
      </x:c>
      <x:c r="P70" s="18" t="str">
        <x:f>IF(COUNTIFS('2020-2025时序'!$B$2:$B$439,$B70,'2020-2025时序'!$C$2:$C$439,2025,'2020-2025时序'!$G$2:$G$439,"&gt;0")=0,"",SUMIFS('2020-2025时序'!$G$2:$G$439,'2020-2025时序'!$B$2:$B$439,$B70,'2020-2025时序'!$C$2:$C$439,2025))</x:f>
      </x:c>
      <x:c r="Q70" s="18" t="str">
        <x:f>IF(COUNTIFS('2020-2025时序'!$B$2:$B$439,$B70,'2020-2025时序'!$C$2:$C$439,2025,'2020-2025时序'!$H$2:$H$439,"&gt;0")=0,"",SUMIFS('2020-2025时序'!$H$2:$H$439,'2020-2025时序'!$B$2:$B$439,$B70,'2020-2025时序'!$C$2:$C$439,2025))</x:f>
      </x:c>
      <x:c r="R70" s="18" t="str">
        <x:f>IF(COUNTIFS('2020-2025时序'!$B$2:$B$439,$B70,'2020-2025时序'!$C$2:$C$439,2025,'2020-2025时序'!$L$2:$L$439,"&gt;0")=0,"",SUMIFS('2020-2025时序'!$L$2:$L$439,'2020-2025时序'!$B$2:$B$439,$B70,'2020-2025时序'!$C$2:$C$439,2025))</x:f>
      </x:c>
      <x:c r="S70" s="18" t="str">
        <x:f>IF(COUNTIFS('2020-2025时序'!$B$2:$B$439,$B70,'2020-2025时序'!$C$2:$C$439,2025,'2020-2025时序'!$J$2:$J$439,"&gt;0")=0,"",SUMIFS('2020-2025时序'!$J$2:$J$439,'2020-2025时序'!$B$2:$B$439,$B70,'2020-2025时序'!$C$2:$C$439,2025))</x:f>
      </x:c>
      <x:c r="T70" s="41" t="str">
        <x:f>IF(OR(L70="",M70=""),"",IF(OR(N70="",O70=""),MIN(100,MAX(0,-(M70/L70-1)/0.10*100)),0.7*MIN(100,MAX(0,-(M70/L70-1)/0.10*100))+0.3*MIN(100,MAX(0,-(O70/N70-1)/0.50*100))))</x:f>
      </x:c>
      <x:c r="U70" s="41" t="str">
        <x:f>IF(OR(P70="",Q70="",Q70=0),"",MIN(100,MAX(0,100*(1-P70/Q70))))</x:f>
      </x:c>
      <x:c r="V70" s="41" t="str">
        <x:f>IFERROR(MIN(100,100*SUMIFS('2020-2025时序'!$O$2:$O$439,'2020-2025时序'!$B$2:$B$439,$B70,'2020-2025时序'!$C$2:$C$439,2025)/SUMIFS('2020-2025时序'!$J$2:$J$439,'2020-2025时序'!$B$2:$B$439,$B70,'2020-2025时序'!$C$2:$C$439,2025)),"")</x:f>
      </x:c>
      <x:c r="W70" s="41" t="str">
        <x:f>IF(OR(R70="",J70="",J70=0),"",MIN(100,100*R70/J70))</x:f>
      </x:c>
      <x:c r="X70" s="41" t="str">
        <x:f>IF(OR(K70="",T70="",U70="",W70=""),"",0.25*MIN(100,MAX(20,20+K70/0.08*80))+0.20*(100-T70)+0.20*(100-U70)+0.15*G70+0.10*(100-W70)+0.10*G70)</x:f>
      </x:c>
      <x:c r="Y70" s="41" t="n">
        <x:f>ROUND(100*COUNT(I70:S70)/11,0)</x:f>
        <x:v>9</x:v>
      </x:c>
      <x:c r="Z70" s="16" t="str">
        <x:f>IF(AND(J70&lt;&gt;"",K70&gt;0,M70&lt;&gt;"",L70&lt;&gt;"",M70&lt;L70),"表面增长/人口收缩",IF(AND(U70&lt;&gt;"",U70&gt;=80),"财政高度依赖",IF(E70="收缩风险","结构性收缩风险",IF(H70&gt;=75,"单一产业集中风险",""))))</x:f>
      </x:c>
      <x:c r="AA70" s="16" t="str">
        <x:f>"详见“2020-2025时序”逐年来源URL；产业与抓手为研究判断"</x:f>
        <x:v>详见“2020-2025时序”逐年来源URL；产业与抓手为研究判断</x:v>
      </x:c>
    </x:row>
    <x:row r="71">
      <x:c r="A71" s="16" t="str">
        <x:v>上饶市</x:v>
      </x:c>
      <x:c r="B71" s="16" t="str">
        <x:v>鄱阳县</x:v>
      </x:c>
      <x:c r="C71" s="16" t="str">
        <x:v>水产农业、食品、电子/新能源项目</x:v>
      </x:c>
      <x:c r="D71" s="16" t="str">
        <x:v>C+</x:v>
      </x:c>
      <x:c r="E71" s="16" t="str">
        <x:v>承压型</x:v>
      </x:c>
      <x:c r="F71" s="16" t="str">
        <x:v>大人口市场、鄱阳湖经济</x:v>
      </x:c>
      <x:c r="G71" s="18" t="n">
        <x:v>58</x:v>
      </x:c>
      <x:c r="H71" s="18" t="n">
        <x:v>56</x:v>
      </x:c>
      <x:c r="I71" s="18" t="n">
        <x:f>IF(COUNTIFS('2020-2025时序'!$B$2:$B$439,$B71,'2020-2025时序'!$C$2:$C$439,2020,'2020-2025时序'!$D$2:$D$439,"&gt;0")=0,"",SUMIFS('2020-2025时序'!$D$2:$D$439,'2020-2025时序'!$B$2:$B$439,$B71,'2020-2025时序'!$C$2:$C$439,2020))</x:f>
        <x:v>255.8</x:v>
      </x:c>
      <x:c r="J71" s="18" t="str">
        <x:f>IF(COUNTIFS('2020-2025时序'!$B$2:$B$439,$B71,'2020-2025时序'!$C$2:$C$439,2025,'2020-2025时序'!$D$2:$D$439,"&gt;0")=0,"",SUMIFS('2020-2025时序'!$D$2:$D$439,'2020-2025时序'!$B$2:$B$439,$B71,'2020-2025时序'!$C$2:$C$439,2025))</x:f>
      </x:c>
      <x:c r="K71" s="40" t="str">
        <x:f>IF(OR(I71="",J71=""),"",POWER(J71/I71,1/5)-1)</x:f>
      </x:c>
      <x:c r="L71" s="18" t="n">
        <x:f>IF(COUNTIFS('2020-2025时序'!$B$2:$B$439,$B71,'2020-2025时序'!$C$2:$C$439,2020,'2020-2025时序'!$E$2:$E$439,"&gt;0")=0,"",SUMIFS('2020-2025时序'!$E$2:$E$439,'2020-2025时序'!$B$2:$B$439,$B71,'2020-2025时序'!$C$2:$C$439,2020))</x:f>
        <x:v>118.4097</x:v>
      </x:c>
      <x:c r="M71" s="18" t="str">
        <x:f>IF(COUNTIFS('2020-2025时序'!$B$2:$B$439,$B71,'2020-2025时序'!$C$2:$C$439,2025,'2020-2025时序'!$E$2:$E$439,"&gt;0")=0,"",SUMIFS('2020-2025时序'!$E$2:$E$439,'2020-2025时序'!$B$2:$B$439,$B71,'2020-2025时序'!$C$2:$C$439,2025))</x:f>
      </x:c>
      <x:c r="N71" s="18" t="str">
        <x:f>IF(COUNTIFS('2020-2025时序'!$B$2:$B$439,$B71,'2020-2025时序'!$C$2:$C$439,2020,'2020-2025时序'!$F$2:$F$439,"&gt;0")=0,"",SUMIFS('2020-2025时序'!$F$2:$F$439,'2020-2025时序'!$B$2:$B$439,$B71,'2020-2025时序'!$C$2:$C$439,2020))</x:f>
      </x:c>
      <x:c r="O71" s="18" t="str">
        <x:f>IF(COUNTIFS('2020-2025时序'!$B$2:$B$439,$B71,'2020-2025时序'!$C$2:$C$439,2025,'2020-2025时序'!$F$2:$F$439,"&gt;0")=0,"",SUMIFS('2020-2025时序'!$F$2:$F$439,'2020-2025时序'!$B$2:$B$439,$B71,'2020-2025时序'!$C$2:$C$439,2025))</x:f>
      </x:c>
      <x:c r="P71" s="18" t="str">
        <x:f>IF(COUNTIFS('2020-2025时序'!$B$2:$B$439,$B71,'2020-2025时序'!$C$2:$C$439,2025,'2020-2025时序'!$G$2:$G$439,"&gt;0")=0,"",SUMIFS('2020-2025时序'!$G$2:$G$439,'2020-2025时序'!$B$2:$B$439,$B71,'2020-2025时序'!$C$2:$C$439,2025))</x:f>
      </x:c>
      <x:c r="Q71" s="18" t="str">
        <x:f>IF(COUNTIFS('2020-2025时序'!$B$2:$B$439,$B71,'2020-2025时序'!$C$2:$C$439,2025,'2020-2025时序'!$H$2:$H$439,"&gt;0")=0,"",SUMIFS('2020-2025时序'!$H$2:$H$439,'2020-2025时序'!$B$2:$B$439,$B71,'2020-2025时序'!$C$2:$C$439,2025))</x:f>
      </x:c>
      <x:c r="R71" s="18" t="str">
        <x:f>IF(COUNTIFS('2020-2025时序'!$B$2:$B$439,$B71,'2020-2025时序'!$C$2:$C$439,2025,'2020-2025时序'!$L$2:$L$439,"&gt;0")=0,"",SUMIFS('2020-2025时序'!$L$2:$L$439,'2020-2025时序'!$B$2:$B$439,$B71,'2020-2025时序'!$C$2:$C$439,2025))</x:f>
      </x:c>
      <x:c r="S71" s="18" t="str">
        <x:f>IF(COUNTIFS('2020-2025时序'!$B$2:$B$439,$B71,'2020-2025时序'!$C$2:$C$439,2025,'2020-2025时序'!$J$2:$J$439,"&gt;0")=0,"",SUMIFS('2020-2025时序'!$J$2:$J$439,'2020-2025时序'!$B$2:$B$439,$B71,'2020-2025时序'!$C$2:$C$439,2025))</x:f>
      </x:c>
      <x:c r="T71" s="41" t="str">
        <x:f>IF(OR(L71="",M71=""),"",IF(OR(N71="",O71=""),MIN(100,MAX(0,-(M71/L71-1)/0.10*100)),0.7*MIN(100,MAX(0,-(M71/L71-1)/0.10*100))+0.3*MIN(100,MAX(0,-(O71/N71-1)/0.50*100))))</x:f>
      </x:c>
      <x:c r="U71" s="41" t="str">
        <x:f>IF(OR(P71="",Q71="",Q71=0),"",MIN(100,MAX(0,100*(1-P71/Q71))))</x:f>
      </x:c>
      <x:c r="V71" s="41" t="str">
        <x:f>IFERROR(MIN(100,100*SUMIFS('2020-2025时序'!$O$2:$O$439,'2020-2025时序'!$B$2:$B$439,$B71,'2020-2025时序'!$C$2:$C$439,2025)/SUMIFS('2020-2025时序'!$J$2:$J$439,'2020-2025时序'!$B$2:$B$439,$B71,'2020-2025时序'!$C$2:$C$439,2025)),"")</x:f>
      </x:c>
      <x:c r="W71" s="41" t="str">
        <x:f>IF(OR(R71="",J71="",J71=0),"",MIN(100,100*R71/J71))</x:f>
      </x:c>
      <x:c r="X71" s="41" t="str">
        <x:f>IF(OR(K71="",T71="",U71="",W71=""),"",0.25*MIN(100,MAX(20,20+K71/0.08*80))+0.20*(100-T71)+0.20*(100-U71)+0.15*G71+0.10*(100-W71)+0.10*G71)</x:f>
      </x:c>
      <x:c r="Y71" s="41" t="n">
        <x:f>ROUND(100*COUNT(I71:S71)/11,0)</x:f>
        <x:v>18</x:v>
      </x:c>
      <x:c r="Z71" s="16" t="str">
        <x:f>IF(AND(J71&lt;&gt;"",K71&gt;0,M71&lt;&gt;"",L71&lt;&gt;"",M71&lt;L71),"表面增长/人口收缩",IF(AND(U71&lt;&gt;"",U71&gt;=80),"财政高度依赖",IF(E71="收缩风险","结构性收缩风险",IF(H71&gt;=75,"单一产业集中风险",""))))</x:f>
      </x:c>
      <x:c r="AA71" s="16" t="str">
        <x:f>"详见“2020-2025时序”逐年来源URL；产业与抓手为研究判断"</x:f>
        <x:v>详见“2020-2025时序”逐年来源URL；产业与抓手为研究判断</x:v>
      </x:c>
    </x:row>
    <x:row r="72">
      <x:c r="A72" s="16" t="str">
        <x:v>上饶市</x:v>
      </x:c>
      <x:c r="B72" s="16" t="str">
        <x:v>万年县</x:v>
      </x:c>
      <x:c r="C72" s="16" t="str">
        <x:v>食品稻米、新材料、制造业</x:v>
      </x:c>
      <x:c r="D72" s="16" t="str">
        <x:v>B</x:v>
      </x:c>
      <x:c r="E72" s="16" t="str">
        <x:v>转型型</x:v>
      </x:c>
      <x:c r="F72" s="16" t="str">
        <x:v>农产品工业化</x:v>
      </x:c>
      <x:c r="G72" s="18" t="n">
        <x:v>68</x:v>
      </x:c>
      <x:c r="H72" s="18" t="n">
        <x:v>56</x:v>
      </x:c>
      <x:c r="I72" s="18" t="n">
        <x:f>IF(COUNTIFS('2020-2025时序'!$B$2:$B$439,$B72,'2020-2025时序'!$C$2:$C$439,2020,'2020-2025时序'!$D$2:$D$439,"&gt;0")=0,"",SUMIFS('2020-2025时序'!$D$2:$D$439,'2020-2025时序'!$B$2:$B$439,$B72,'2020-2025时序'!$C$2:$C$439,2020))</x:f>
        <x:v>174.26</x:v>
      </x:c>
      <x:c r="J72" s="18" t="str">
        <x:f>IF(COUNTIFS('2020-2025时序'!$B$2:$B$439,$B72,'2020-2025时序'!$C$2:$C$439,2025,'2020-2025时序'!$D$2:$D$439,"&gt;0")=0,"",SUMIFS('2020-2025时序'!$D$2:$D$439,'2020-2025时序'!$B$2:$B$439,$B72,'2020-2025时序'!$C$2:$C$439,2025))</x:f>
      </x:c>
      <x:c r="K72" s="40" t="str">
        <x:f>IF(OR(I72="",J72=""),"",POWER(J72/I72,1/5)-1)</x:f>
      </x:c>
      <x:c r="L72" s="18" t="str">
        <x:f>IF(COUNTIFS('2020-2025时序'!$B$2:$B$439,$B72,'2020-2025时序'!$C$2:$C$439,2020,'2020-2025时序'!$E$2:$E$439,"&gt;0")=0,"",SUMIFS('2020-2025时序'!$E$2:$E$439,'2020-2025时序'!$B$2:$B$439,$B72,'2020-2025时序'!$C$2:$C$439,2020))</x:f>
      </x:c>
      <x:c r="M72" s="18" t="str">
        <x:f>IF(COUNTIFS('2020-2025时序'!$B$2:$B$439,$B72,'2020-2025时序'!$C$2:$C$439,2025,'2020-2025时序'!$E$2:$E$439,"&gt;0")=0,"",SUMIFS('2020-2025时序'!$E$2:$E$439,'2020-2025时序'!$B$2:$B$439,$B72,'2020-2025时序'!$C$2:$C$439,2025))</x:f>
      </x:c>
      <x:c r="N72" s="18" t="str">
        <x:f>IF(COUNTIFS('2020-2025时序'!$B$2:$B$439,$B72,'2020-2025时序'!$C$2:$C$439,2020,'2020-2025时序'!$F$2:$F$439,"&gt;0")=0,"",SUMIFS('2020-2025时序'!$F$2:$F$439,'2020-2025时序'!$B$2:$B$439,$B72,'2020-2025时序'!$C$2:$C$439,2020))</x:f>
      </x:c>
      <x:c r="O72" s="18" t="str">
        <x:f>IF(COUNTIFS('2020-2025时序'!$B$2:$B$439,$B72,'2020-2025时序'!$C$2:$C$439,2025,'2020-2025时序'!$F$2:$F$439,"&gt;0")=0,"",SUMIFS('2020-2025时序'!$F$2:$F$439,'2020-2025时序'!$B$2:$B$439,$B72,'2020-2025时序'!$C$2:$C$439,2025))</x:f>
      </x:c>
      <x:c r="P72" s="18" t="str">
        <x:f>IF(COUNTIFS('2020-2025时序'!$B$2:$B$439,$B72,'2020-2025时序'!$C$2:$C$439,2025,'2020-2025时序'!$G$2:$G$439,"&gt;0")=0,"",SUMIFS('2020-2025时序'!$G$2:$G$439,'2020-2025时序'!$B$2:$B$439,$B72,'2020-2025时序'!$C$2:$C$439,2025))</x:f>
      </x:c>
      <x:c r="Q72" s="18" t="str">
        <x:f>IF(COUNTIFS('2020-2025时序'!$B$2:$B$439,$B72,'2020-2025时序'!$C$2:$C$439,2025,'2020-2025时序'!$H$2:$H$439,"&gt;0")=0,"",SUMIFS('2020-2025时序'!$H$2:$H$439,'2020-2025时序'!$B$2:$B$439,$B72,'2020-2025时序'!$C$2:$C$439,2025))</x:f>
      </x:c>
      <x:c r="R72" s="18" t="str">
        <x:f>IF(COUNTIFS('2020-2025时序'!$B$2:$B$439,$B72,'2020-2025时序'!$C$2:$C$439,2025,'2020-2025时序'!$L$2:$L$439,"&gt;0")=0,"",SUMIFS('2020-2025时序'!$L$2:$L$439,'2020-2025时序'!$B$2:$B$439,$B72,'2020-2025时序'!$C$2:$C$439,2025))</x:f>
      </x:c>
      <x:c r="S72" s="18" t="str">
        <x:f>IF(COUNTIFS('2020-2025时序'!$B$2:$B$439,$B72,'2020-2025时序'!$C$2:$C$439,2025,'2020-2025时序'!$J$2:$J$439,"&gt;0")=0,"",SUMIFS('2020-2025时序'!$J$2:$J$439,'2020-2025时序'!$B$2:$B$439,$B72,'2020-2025时序'!$C$2:$C$439,2025))</x:f>
      </x:c>
      <x:c r="T72" s="41" t="str">
        <x:f>IF(OR(L72="",M72=""),"",IF(OR(N72="",O72=""),MIN(100,MAX(0,-(M72/L72-1)/0.10*100)),0.7*MIN(100,MAX(0,-(M72/L72-1)/0.10*100))+0.3*MIN(100,MAX(0,-(O72/N72-1)/0.50*100))))</x:f>
      </x:c>
      <x:c r="U72" s="41" t="str">
        <x:f>IF(OR(P72="",Q72="",Q72=0),"",MIN(100,MAX(0,100*(1-P72/Q72))))</x:f>
      </x:c>
      <x:c r="V72" s="41" t="str">
        <x:f>IFERROR(MIN(100,100*SUMIFS('2020-2025时序'!$O$2:$O$439,'2020-2025时序'!$B$2:$B$439,$B72,'2020-2025时序'!$C$2:$C$439,2025)/SUMIFS('2020-2025时序'!$J$2:$J$439,'2020-2025时序'!$B$2:$B$439,$B72,'2020-2025时序'!$C$2:$C$439,2025)),"")</x:f>
      </x:c>
      <x:c r="W72" s="41" t="str">
        <x:f>IF(OR(R72="",J72="",J72=0),"",MIN(100,100*R72/J72))</x:f>
      </x:c>
      <x:c r="X72" s="41" t="str">
        <x:f>IF(OR(K72="",T72="",U72="",W72=""),"",0.25*MIN(100,MAX(20,20+K72/0.08*80))+0.20*(100-T72)+0.20*(100-U72)+0.15*G72+0.10*(100-W72)+0.10*G72)</x:f>
      </x:c>
      <x:c r="Y72" s="41" t="n">
        <x:f>ROUND(100*COUNT(I72:S72)/11,0)</x:f>
        <x:v>9</x:v>
      </x:c>
      <x:c r="Z72" s="16" t="str">
        <x:f>IF(AND(J72&lt;&gt;"",K72&gt;0,M72&lt;&gt;"",L72&lt;&gt;"",M72&lt;L72),"表面增长/人口收缩",IF(AND(U72&lt;&gt;"",U72&gt;=80),"财政高度依赖",IF(E72="收缩风险","结构性收缩风险",IF(H72&gt;=75,"单一产业集中风险",""))))</x:f>
      </x:c>
      <x:c r="AA72" s="16" t="str">
        <x:f>"详见“2020-2025时序”逐年来源URL；产业与抓手为研究判断"</x:f>
        <x:v>详见“2020-2025时序”逐年来源URL；产业与抓手为研究判断</x:v>
      </x:c>
    </x:row>
    <x:row r="73">
      <x:c r="A73" s="16" t="str">
        <x:v>上饶市</x:v>
      </x:c>
      <x:c r="B73" s="16" t="str">
        <x:v>婺源县</x:v>
      </x:c>
      <x:c r="C73" s="16" t="str">
        <x:v>旅游、茶、文化产业</x:v>
      </x:c>
      <x:c r="D73" s="16" t="str">
        <x:v>B+</x:v>
      </x:c>
      <x:c r="E73" s="16" t="str">
        <x:v>转型增长型</x:v>
      </x:c>
      <x:c r="F73" s="16" t="str">
        <x:v>全国旅游品牌、度假经济</x:v>
      </x:c>
      <x:c r="G73" s="18" t="n">
        <x:v>77</x:v>
      </x:c>
      <x:c r="H73" s="18" t="n">
        <x:v>56</x:v>
      </x:c>
      <x:c r="I73" s="18" t="n">
        <x:f>IF(COUNTIFS('2020-2025时序'!$B$2:$B$439,$B73,'2020-2025时序'!$C$2:$C$439,2020,'2020-2025时序'!$D$2:$D$439,"&gt;0")=0,"",SUMIFS('2020-2025时序'!$D$2:$D$439,'2020-2025时序'!$B$2:$B$439,$B73,'2020-2025时序'!$C$2:$C$439,2020))</x:f>
        <x:v>135.32</x:v>
      </x:c>
      <x:c r="J73" s="18" t="str">
        <x:f>IF(COUNTIFS('2020-2025时序'!$B$2:$B$439,$B73,'2020-2025时序'!$C$2:$C$439,2025,'2020-2025时序'!$D$2:$D$439,"&gt;0")=0,"",SUMIFS('2020-2025时序'!$D$2:$D$439,'2020-2025时序'!$B$2:$B$439,$B73,'2020-2025时序'!$C$2:$C$439,2025))</x:f>
      </x:c>
      <x:c r="K73" s="40" t="str">
        <x:f>IF(OR(I73="",J73=""),"",POWER(J73/I73,1/5)-1)</x:f>
      </x:c>
      <x:c r="L73" s="18" t="str">
        <x:f>IF(COUNTIFS('2020-2025时序'!$B$2:$B$439,$B73,'2020-2025时序'!$C$2:$C$439,2020,'2020-2025时序'!$E$2:$E$439,"&gt;0")=0,"",SUMIFS('2020-2025时序'!$E$2:$E$439,'2020-2025时序'!$B$2:$B$439,$B73,'2020-2025时序'!$C$2:$C$439,2020))</x:f>
      </x:c>
      <x:c r="M73" s="18" t="str">
        <x:f>IF(COUNTIFS('2020-2025时序'!$B$2:$B$439,$B73,'2020-2025时序'!$C$2:$C$439,2025,'2020-2025时序'!$E$2:$E$439,"&gt;0")=0,"",SUMIFS('2020-2025时序'!$E$2:$E$439,'2020-2025时序'!$B$2:$B$439,$B73,'2020-2025时序'!$C$2:$C$439,2025))</x:f>
      </x:c>
      <x:c r="N73" s="18" t="str">
        <x:f>IF(COUNTIFS('2020-2025时序'!$B$2:$B$439,$B73,'2020-2025时序'!$C$2:$C$439,2020,'2020-2025时序'!$F$2:$F$439,"&gt;0")=0,"",SUMIFS('2020-2025时序'!$F$2:$F$439,'2020-2025时序'!$B$2:$B$439,$B73,'2020-2025时序'!$C$2:$C$439,2020))</x:f>
      </x:c>
      <x:c r="O73" s="18" t="str">
        <x:f>IF(COUNTIFS('2020-2025时序'!$B$2:$B$439,$B73,'2020-2025时序'!$C$2:$C$439,2025,'2020-2025时序'!$F$2:$F$439,"&gt;0")=0,"",SUMIFS('2020-2025时序'!$F$2:$F$439,'2020-2025时序'!$B$2:$B$439,$B73,'2020-2025时序'!$C$2:$C$439,2025))</x:f>
      </x:c>
      <x:c r="P73" s="18" t="str">
        <x:f>IF(COUNTIFS('2020-2025时序'!$B$2:$B$439,$B73,'2020-2025时序'!$C$2:$C$439,2025,'2020-2025时序'!$G$2:$G$439,"&gt;0")=0,"",SUMIFS('2020-2025时序'!$G$2:$G$439,'2020-2025时序'!$B$2:$B$439,$B73,'2020-2025时序'!$C$2:$C$439,2025))</x:f>
      </x:c>
      <x:c r="Q73" s="18" t="str">
        <x:f>IF(COUNTIFS('2020-2025时序'!$B$2:$B$439,$B73,'2020-2025时序'!$C$2:$C$439,2025,'2020-2025时序'!$H$2:$H$439,"&gt;0")=0,"",SUMIFS('2020-2025时序'!$H$2:$H$439,'2020-2025时序'!$B$2:$B$439,$B73,'2020-2025时序'!$C$2:$C$439,2025))</x:f>
      </x:c>
      <x:c r="R73" s="18" t="str">
        <x:f>IF(COUNTIFS('2020-2025时序'!$B$2:$B$439,$B73,'2020-2025时序'!$C$2:$C$439,2025,'2020-2025时序'!$L$2:$L$439,"&gt;0")=0,"",SUMIFS('2020-2025时序'!$L$2:$L$439,'2020-2025时序'!$B$2:$B$439,$B73,'2020-2025时序'!$C$2:$C$439,2025))</x:f>
      </x:c>
      <x:c r="S73" s="18" t="str">
        <x:f>IF(COUNTIFS('2020-2025时序'!$B$2:$B$439,$B73,'2020-2025时序'!$C$2:$C$439,2025,'2020-2025时序'!$J$2:$J$439,"&gt;0")=0,"",SUMIFS('2020-2025时序'!$J$2:$J$439,'2020-2025时序'!$B$2:$B$439,$B73,'2020-2025时序'!$C$2:$C$439,2025))</x:f>
      </x:c>
      <x:c r="T73" s="41" t="str">
        <x:f>IF(OR(L73="",M73=""),"",IF(OR(N73="",O73=""),MIN(100,MAX(0,-(M73/L73-1)/0.10*100)),0.7*MIN(100,MAX(0,-(M73/L73-1)/0.10*100))+0.3*MIN(100,MAX(0,-(O73/N73-1)/0.50*100))))</x:f>
      </x:c>
      <x:c r="U73" s="41" t="str">
        <x:f>IF(OR(P73="",Q73="",Q73=0),"",MIN(100,MAX(0,100*(1-P73/Q73))))</x:f>
      </x:c>
      <x:c r="V73" s="41" t="str">
        <x:f>IFERROR(MIN(100,100*SUMIFS('2020-2025时序'!$O$2:$O$439,'2020-2025时序'!$B$2:$B$439,$B73,'2020-2025时序'!$C$2:$C$439,2025)/SUMIFS('2020-2025时序'!$J$2:$J$439,'2020-2025时序'!$B$2:$B$439,$B73,'2020-2025时序'!$C$2:$C$439,2025)),"")</x:f>
      </x:c>
      <x:c r="W73" s="41" t="str">
        <x:f>IF(OR(R73="",J73="",J73=0),"",MIN(100,100*R73/J73))</x:f>
      </x:c>
      <x:c r="X73" s="41" t="str">
        <x:f>IF(OR(K73="",T73="",U73="",W73=""),"",0.25*MIN(100,MAX(20,20+K73/0.08*80))+0.20*(100-T73)+0.20*(100-U73)+0.15*G73+0.10*(100-W73)+0.10*G73)</x:f>
      </x:c>
      <x:c r="Y73" s="41" t="n">
        <x:f>ROUND(100*COUNT(I73:S73)/11,0)</x:f>
        <x:v>9</x:v>
      </x:c>
      <x:c r="Z73" s="16" t="str">
        <x:f>IF(AND(J73&lt;&gt;"",K73&gt;0,M73&lt;&gt;"",L73&lt;&gt;"",M73&lt;L73),"表面增长/人口收缩",IF(AND(U73&lt;&gt;"",U73&gt;=80),"财政高度依赖",IF(E73="收缩风险","结构性收缩风险",IF(H73&gt;=75,"单一产业集中风险",""))))</x:f>
      </x:c>
      <x:c r="AA73" s="16" t="str">
        <x:f>"详见“2020-2025时序”逐年来源URL；产业与抓手为研究判断"</x:f>
        <x:v>详见“2020-2025时序”逐年来源URL；产业与抓手为研究判断</x:v>
      </x:c>
    </x:row>
    <x:row r="74">
      <x:c r="A74" s="16" t="str">
        <x:v>上饶市</x:v>
      </x:c>
      <x:c r="B74" s="16" t="str">
        <x:v>德兴市</x:v>
      </x:c>
      <x:c r="C74" s="16" t="str">
        <x:v>铜、黄金、有色、医药化工、机械电子</x:v>
      </x:c>
      <x:c r="D74" s="16" t="str">
        <x:v>A-</x:v>
      </x:c>
      <x:c r="E74" s="16" t="str">
        <x:v>增长型</x:v>
      </x:c>
      <x:c r="F74" s="16" t="str">
        <x:v>有色深加工、降低资源周期依赖</x:v>
      </x:c>
      <x:c r="G74" s="18" t="n">
        <x:v>85</x:v>
      </x:c>
      <x:c r="H74" s="18" t="n">
        <x:v>66</x:v>
      </x:c>
      <x:c r="I74" s="18" t="n">
        <x:f>IF(COUNTIFS('2020-2025时序'!$B$2:$B$439,$B74,'2020-2025时序'!$C$2:$C$439,2020,'2020-2025时序'!$D$2:$D$439,"&gt;0")=0,"",SUMIFS('2020-2025时序'!$D$2:$D$439,'2020-2025时序'!$B$2:$B$439,$B74,'2020-2025时序'!$C$2:$C$439,2020))</x:f>
        <x:v>165.96</x:v>
      </x:c>
      <x:c r="J74" s="18" t="str">
        <x:f>IF(COUNTIFS('2020-2025时序'!$B$2:$B$439,$B74,'2020-2025时序'!$C$2:$C$439,2025,'2020-2025时序'!$D$2:$D$439,"&gt;0")=0,"",SUMIFS('2020-2025时序'!$D$2:$D$439,'2020-2025时序'!$B$2:$B$439,$B74,'2020-2025时序'!$C$2:$C$439,2025))</x:f>
      </x:c>
      <x:c r="K74" s="40" t="str">
        <x:f>IF(OR(I74="",J74=""),"",POWER(J74/I74,1/5)-1)</x:f>
      </x:c>
      <x:c r="L74" s="18" t="str">
        <x:f>IF(COUNTIFS('2020-2025时序'!$B$2:$B$439,$B74,'2020-2025时序'!$C$2:$C$439,2020,'2020-2025时序'!$E$2:$E$439,"&gt;0")=0,"",SUMIFS('2020-2025时序'!$E$2:$E$439,'2020-2025时序'!$B$2:$B$439,$B74,'2020-2025时序'!$C$2:$C$439,2020))</x:f>
      </x:c>
      <x:c r="M74" s="18" t="str">
        <x:f>IF(COUNTIFS('2020-2025时序'!$B$2:$B$439,$B74,'2020-2025时序'!$C$2:$C$439,2025,'2020-2025时序'!$E$2:$E$439,"&gt;0")=0,"",SUMIFS('2020-2025时序'!$E$2:$E$439,'2020-2025时序'!$B$2:$B$439,$B74,'2020-2025时序'!$C$2:$C$439,2025))</x:f>
      </x:c>
      <x:c r="N74" s="18" t="str">
        <x:f>IF(COUNTIFS('2020-2025时序'!$B$2:$B$439,$B74,'2020-2025时序'!$C$2:$C$439,2020,'2020-2025时序'!$F$2:$F$439,"&gt;0")=0,"",SUMIFS('2020-2025时序'!$F$2:$F$439,'2020-2025时序'!$B$2:$B$439,$B74,'2020-2025时序'!$C$2:$C$439,2020))</x:f>
      </x:c>
      <x:c r="O74" s="18" t="str">
        <x:f>IF(COUNTIFS('2020-2025时序'!$B$2:$B$439,$B74,'2020-2025时序'!$C$2:$C$439,2025,'2020-2025时序'!$F$2:$F$439,"&gt;0")=0,"",SUMIFS('2020-2025时序'!$F$2:$F$439,'2020-2025时序'!$B$2:$B$439,$B74,'2020-2025时序'!$C$2:$C$439,2025))</x:f>
      </x:c>
      <x:c r="P74" s="18" t="str">
        <x:f>IF(COUNTIFS('2020-2025时序'!$B$2:$B$439,$B74,'2020-2025时序'!$C$2:$C$439,2025,'2020-2025时序'!$G$2:$G$439,"&gt;0")=0,"",SUMIFS('2020-2025时序'!$G$2:$G$439,'2020-2025时序'!$B$2:$B$439,$B74,'2020-2025时序'!$C$2:$C$439,2025))</x:f>
      </x:c>
      <x:c r="Q74" s="18" t="str">
        <x:f>IF(COUNTIFS('2020-2025时序'!$B$2:$B$439,$B74,'2020-2025时序'!$C$2:$C$439,2025,'2020-2025时序'!$H$2:$H$439,"&gt;0")=0,"",SUMIFS('2020-2025时序'!$H$2:$H$439,'2020-2025时序'!$B$2:$B$439,$B74,'2020-2025时序'!$C$2:$C$439,2025))</x:f>
      </x:c>
      <x:c r="R74" s="18" t="str">
        <x:f>IF(COUNTIFS('2020-2025时序'!$B$2:$B$439,$B74,'2020-2025时序'!$C$2:$C$439,2025,'2020-2025时序'!$L$2:$L$439,"&gt;0")=0,"",SUMIFS('2020-2025时序'!$L$2:$L$439,'2020-2025时序'!$B$2:$B$439,$B74,'2020-2025时序'!$C$2:$C$439,2025))</x:f>
      </x:c>
      <x:c r="S74" s="18" t="str">
        <x:f>IF(COUNTIFS('2020-2025时序'!$B$2:$B$439,$B74,'2020-2025时序'!$C$2:$C$439,2025,'2020-2025时序'!$J$2:$J$439,"&gt;0")=0,"",SUMIFS('2020-2025时序'!$J$2:$J$439,'2020-2025时序'!$B$2:$B$439,$B74,'2020-2025时序'!$C$2:$C$439,2025))</x:f>
      </x:c>
      <x:c r="T74" s="41" t="str">
        <x:f>IF(OR(L74="",M74=""),"",IF(OR(N74="",O74=""),MIN(100,MAX(0,-(M74/L74-1)/0.10*100)),0.7*MIN(100,MAX(0,-(M74/L74-1)/0.10*100))+0.3*MIN(100,MAX(0,-(O74/N74-1)/0.50*100))))</x:f>
      </x:c>
      <x:c r="U74" s="41" t="str">
        <x:f>IF(OR(P74="",Q74="",Q74=0),"",MIN(100,MAX(0,100*(1-P74/Q74))))</x:f>
      </x:c>
      <x:c r="V74" s="41" t="str">
        <x:f>IFERROR(MIN(100,100*SUMIFS('2020-2025时序'!$O$2:$O$439,'2020-2025时序'!$B$2:$B$439,$B74,'2020-2025时序'!$C$2:$C$439,2025)/SUMIFS('2020-2025时序'!$J$2:$J$439,'2020-2025时序'!$B$2:$B$439,$B74,'2020-2025时序'!$C$2:$C$439,2025)),"")</x:f>
      </x:c>
      <x:c r="W74" s="41" t="str">
        <x:f>IF(OR(R74="",J74="",J74=0),"",MIN(100,100*R74/J74))</x:f>
      </x:c>
      <x:c r="X74" s="41" t="str">
        <x:f>IF(OR(K74="",T74="",U74="",W74=""),"",0.25*MIN(100,MAX(20,20+K74/0.08*80))+0.20*(100-T74)+0.20*(100-U74)+0.15*G74+0.10*(100-W74)+0.10*G74)</x:f>
      </x:c>
      <x:c r="Y74" s="41" t="n">
        <x:f>ROUND(100*COUNT(I74:S74)/11,0)</x:f>
        <x:v>9</x:v>
      </x:c>
      <x:c r="Z74" s="16" t="str">
        <x:f>IF(AND(J74&lt;&gt;"",K74&gt;0,M74&lt;&gt;"",L74&lt;&gt;"",M74&lt;L74),"表面增长/人口收缩",IF(AND(U74&lt;&gt;"",U74&gt;=80),"财政高度依赖",IF(E74="收缩风险","结构性收缩风险",IF(H74&gt;=75,"单一产业集中风险",""))))</x:f>
      </x:c>
      <x:c r="AA74" s="16" t="str">
        <x:f>"详见“2020-2025时序”逐年来源URL；产业与抓手为研究判断"</x:f>
        <x:v>详见“2020-2025时序”逐年来源URL；产业与抓手为研究判断</x:v>
      </x:c>
    </x:row>
  </x:sheetData>
  <x:conditionalFormatting sqref="G2:G7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2:W74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Y2:Y74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{44D2E8D3-EC0F-1C22-6C45-DBD65A3782BC}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091b82c671e42e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44D2E8D3-EC0F-1C22-6C45-DBD65A3782BC}">
            <x14:dataBar gradient="1">
              <x14:cfvo type="min"/>
              <x14:cfvo type="max"/>
              <x14:fillColor rgb="FF5B9BD5"/>
            </x14:dataBar>
          </x14:cfRule>
          <xm:sqref>Y2:Y74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2" hidden="0" customWidth="1"/>
    <x:col min="5" max="5" width="14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6" hidden="0" customWidth="1"/>
    <x:col min="16" max="16" width="18" hidden="0" customWidth="1"/>
    <x:col min="17" max="17" width="16" hidden="0" customWidth="1"/>
    <x:col min="18" max="18" width="10" hidden="0" customWidth="1"/>
    <x:col min="19" max="19" width="40" hidden="0" customWidth="1"/>
    <x:col min="20" max="20" width="36" hidden="0" customWidth="1"/>
  </x:cols>
  <x:sheetData>
    <x:row r="1">
      <x:c r="A1" s="6" t="str">
        <x:v>地级市</x:v>
      </x:c>
      <x:c r="B1" s="6" t="str">
        <x:v>县/县级市</x:v>
      </x:c>
      <x:c r="C1" s="6" t="str">
        <x:v>年份</x:v>
      </x:c>
      <x:c r="D1" s="6" t="str">
        <x:v>GDP(亿元)</x:v>
      </x:c>
      <x:c r="E1" s="6" t="str">
        <x:v>常住人口(万人)</x:v>
      </x:c>
      <x:c r="F1" s="6" t="str">
        <x:v>出生人口(人)</x:v>
      </x:c>
      <x:c r="G1" s="6" t="str">
        <x:v>一般公共预算收入(亿元)</x:v>
      </x:c>
      <x:c r="H1" s="6" t="str">
        <x:v>一般公共预算支出(亿元)</x:v>
      </x:c>
      <x:c r="I1" s="6" t="str">
        <x:v>规上工业增加值增速(%)</x:v>
      </x:c>
      <x:c r="J1" s="6" t="str">
        <x:v>规上工业营收/主营业务收入(亿元)</x:v>
      </x:c>
      <x:c r="K1" s="6" t="str">
        <x:v>商品房销售面积(万㎡)</x:v>
      </x:c>
      <x:c r="L1" s="6" t="str">
        <x:v>商品房销售额(亿元)</x:v>
      </x:c>
      <x:c r="M1" s="6" t="str">
        <x:v>住户存款余额(亿元)</x:v>
      </x:c>
      <x:c r="N1" s="6" t="str">
        <x:v>城镇新增就业(人)</x:v>
      </x:c>
      <x:c r="O1" s="6" t="str">
        <x:v>主导产业产值(亿元)</x:v>
      </x:c>
      <x:c r="P1" s="6" t="str">
        <x:v>主导产业占规上工业比重(%)</x:v>
      </x:c>
      <x:c r="Q1" s="6" t="str">
        <x:v>重大项目投资(亿元)</x:v>
      </x:c>
      <x:c r="R1" s="6" t="str">
        <x:v>来源等级</x:v>
      </x:c>
      <x:c r="S1" s="6" t="str">
        <x:v>来源URL</x:v>
      </x:c>
      <x:c r="T1" s="6" t="str">
        <x:v>备注</x:v>
      </x:c>
    </x:row>
    <x:row r="2">
      <x:c r="A2" s="16" t="str">
        <x:v>南昌市</x:v>
      </x:c>
      <x:c r="B2" s="16" t="str">
        <x:v>南昌县</x:v>
      </x:c>
      <x:c r="C2" s="17" t="n">
        <x:v>2020</x:v>
      </x:c>
      <x:c r="D2" s="18" t="n">
        <x:v>1048.02</x:v>
      </x:c>
      <x:c r="E2" s="18" t="n">
        <x:v>145.2502</x:v>
      </x:c>
      <x:c r="F2" s="17"/>
      <x:c r="G2" s="18" t="n">
        <x:v>76</x:v>
      </x:c>
      <x:c r="H2" s="18"/>
      <x:c r="I2" s="18"/>
      <x:c r="J2" s="18"/>
      <x:c r="K2" s="18"/>
      <x:c r="L2" s="18"/>
      <x:c r="M2" s="18" t="n">
        <x:v>506.2</x:v>
      </x:c>
      <x:c r="N2" s="17"/>
      <x:c r="O2" s="18"/>
      <x:c r="P2" s="18"/>
      <x:c r="Q2" s="18"/>
      <x:c r="R2" s="16" t="str">
        <x:v>A</x:v>
      </x:c>
      <x:c r="S2" s="16" t="str">
        <x:v>https://ncx.nc.gov.cn/ncxrmzf/tjgb01h/202105/57e6d034bfe84471866df2be1fe5c053.shtml</x:v>
      </x:c>
      <x:c r="T2" s="16" t="str">
        <x:v>官方统计公报/官方分析；常住人口为七普口径</x:v>
      </x:c>
    </x:row>
    <x:row r="3">
      <x:c r="A3" s="16" t="str">
        <x:v>南昌市</x:v>
      </x:c>
      <x:c r="B3" s="16" t="str">
        <x:v>南昌县</x:v>
      </x:c>
      <x:c r="C3" s="17" t="n">
        <x:v>2021</x:v>
      </x:c>
      <x:c r="D3" s="18" t="n">
        <x:v>1195.57</x:v>
      </x:c>
      <x:c r="E3" s="18"/>
      <x:c r="F3" s="17"/>
      <x:c r="G3" s="18"/>
      <x:c r="H3" s="18"/>
      <x:c r="I3" s="18"/>
      <x:c r="J3" s="18"/>
      <x:c r="K3" s="18"/>
      <x:c r="L3" s="18"/>
      <x:c r="M3" s="18"/>
      <x:c r="N3" s="17"/>
      <x:c r="O3" s="18"/>
      <x:c r="P3" s="18"/>
      <x:c r="Q3" s="18"/>
      <x:c r="R3" s="16" t="str">
        <x:v>B</x:v>
      </x:c>
      <x:c r="S3" s="16" t="str">
        <x:v>https://www.maigoo.com/news/684313.html</x:v>
      </x:c>
      <x:c r="T3" s="16" t="str">
        <x:v>GDP历史序列；聚合页引用官方统计公报</x:v>
      </x:c>
    </x:row>
    <x:row r="4">
      <x:c r="A4" s="16" t="str">
        <x:v>南昌市</x:v>
      </x:c>
      <x:c r="B4" s="16" t="str">
        <x:v>南昌县</x:v>
      </x:c>
      <x:c r="C4" s="17" t="n">
        <x:v>2022</x:v>
      </x:c>
      <x:c r="D4" s="18" t="n">
        <x:v>1280.35</x:v>
      </x:c>
      <x:c r="E4" s="18"/>
      <x:c r="F4" s="17"/>
      <x:c r="G4" s="18"/>
      <x:c r="H4" s="18"/>
      <x:c r="I4" s="18"/>
      <x:c r="J4" s="18"/>
      <x:c r="K4" s="18"/>
      <x:c r="L4" s="18"/>
      <x:c r="M4" s="18"/>
      <x:c r="N4" s="17"/>
      <x:c r="O4" s="18"/>
      <x:c r="P4" s="18"/>
      <x:c r="Q4" s="18"/>
      <x:c r="R4" s="16" t="str">
        <x:v>B</x:v>
      </x:c>
      <x:c r="S4" s="16" t="str">
        <x:v>https://www.maigoo.com/news/684313.html</x:v>
      </x:c>
      <x:c r="T4" s="16" t="str">
        <x:v>GDP历史序列；聚合页引用官方统计公报</x:v>
      </x:c>
    </x:row>
    <x:row r="5">
      <x:c r="A5" s="16" t="str">
        <x:v>南昌市</x:v>
      </x:c>
      <x:c r="B5" s="16" t="str">
        <x:v>南昌县</x:v>
      </x:c>
      <x:c r="C5" s="17" t="n">
        <x:v>2023</x:v>
      </x:c>
      <x:c r="D5" s="18" t="n">
        <x:v>1281.09</x:v>
      </x:c>
      <x:c r="E5" s="18"/>
      <x:c r="F5" s="17"/>
      <x:c r="G5" s="18"/>
      <x:c r="H5" s="18"/>
      <x:c r="I5" s="18"/>
      <x:c r="J5" s="18"/>
      <x:c r="K5" s="18"/>
      <x:c r="L5" s="18"/>
      <x:c r="M5" s="18"/>
      <x:c r="N5" s="17"/>
      <x:c r="O5" s="18"/>
      <x:c r="P5" s="18"/>
      <x:c r="Q5" s="18"/>
      <x:c r="R5" s="16" t="str">
        <x:v>B</x:v>
      </x:c>
      <x:c r="S5" s="16" t="str">
        <x:v>https://www.maigoo.com/news/684313.html</x:v>
      </x:c>
      <x:c r="T5" s="16" t="str">
        <x:v>GDP历史序列；聚合页引用官方统计公报</x:v>
      </x:c>
    </x:row>
    <x:row r="6">
      <x:c r="A6" s="16" t="str">
        <x:v>南昌市</x:v>
      </x:c>
      <x:c r="B6" s="16" t="str">
        <x:v>南昌县</x:v>
      </x:c>
      <x:c r="C6" s="17" t="n">
        <x:v>2024</x:v>
      </x:c>
      <x:c r="D6" s="18" t="n">
        <x:v>1401.44</x:v>
      </x:c>
      <x:c r="E6" s="18"/>
      <x:c r="F6" s="17"/>
      <x:c r="G6" s="18"/>
      <x:c r="H6" s="18"/>
      <x:c r="I6" s="18"/>
      <x:c r="J6" s="18"/>
      <x:c r="K6" s="18"/>
      <x:c r="L6" s="18"/>
      <x:c r="M6" s="18"/>
      <x:c r="N6" s="17"/>
      <x:c r="O6" s="18"/>
      <x:c r="P6" s="18"/>
      <x:c r="Q6" s="18"/>
      <x:c r="R6" s="16" t="str">
        <x:v>B</x:v>
      </x:c>
      <x:c r="S6" s="16" t="str">
        <x:v>https://www.maigoo.com/news/684313.html</x:v>
      </x:c>
      <x:c r="T6" s="16" t="str">
        <x:v>GDP历史序列；聚合页引用官方统计公报</x:v>
      </x:c>
    </x:row>
    <x:row r="7">
      <x:c r="A7" s="16" t="str">
        <x:v>南昌市</x:v>
      </x:c>
      <x:c r="B7" s="16" t="str">
        <x:v>南昌县</x:v>
      </x:c>
      <x:c r="C7" s="17" t="n">
        <x:v>2025</x:v>
      </x:c>
      <x:c r="D7" s="18" t="n">
        <x:v>1461.21</x:v>
      </x:c>
      <x:c r="E7" s="18"/>
      <x:c r="F7" s="17"/>
      <x:c r="G7" s="18" t="n">
        <x:v>92.45</x:v>
      </x:c>
      <x:c r="H7" s="18"/>
      <x:c r="I7" s="18"/>
      <x:c r="J7" s="18"/>
      <x:c r="K7" s="18"/>
      <x:c r="L7" s="18"/>
      <x:c r="M7" s="18"/>
      <x:c r="N7" s="17"/>
      <x:c r="O7" s="18"/>
      <x:c r="P7" s="18"/>
      <x:c r="Q7" s="18"/>
      <x:c r="R7" s="16" t="str">
        <x:v>A</x:v>
      </x:c>
      <x:c r="S7" s="16" t="str">
        <x:v>https://ncx.nc.gov.cn/ncxrmzf/tjgb01h/202604/fd1aa6251dbf45ef8737d4553710064f.shtml</x:v>
      </x:c>
      <x:c r="T7" s="16" t="str">
        <x:v>2025统计公报</x:v>
      </x:c>
    </x:row>
    <x:row r="8">
      <x:c r="A8" s="16" t="str">
        <x:v>南昌市</x:v>
      </x:c>
      <x:c r="B8" s="16" t="str">
        <x:v>安义县</x:v>
      </x:c>
      <x:c r="C8" s="17" t="n">
        <x:v>2020</x:v>
      </x:c>
      <x:c r="D8" s="18" t="n">
        <x:v>109.2728</x:v>
      </x:c>
      <x:c r="E8" s="18"/>
      <x:c r="F8" s="17"/>
      <x:c r="G8" s="18"/>
      <x:c r="H8" s="18"/>
      <x:c r="I8" s="18"/>
      <x:c r="J8" s="18"/>
      <x:c r="K8" s="18"/>
      <x:c r="L8" s="18"/>
      <x:c r="M8" s="18"/>
      <x:c r="N8" s="17"/>
      <x:c r="O8" s="18"/>
      <x:c r="P8" s="18"/>
      <x:c r="Q8" s="18"/>
      <x:c r="R8" s="16" t="str">
        <x:v>C</x:v>
      </x:c>
      <x:c r="S8" s="16" t="str">
        <x:v>https://www.hongheiku.com/xianjirank/jxsgdp.html</x:v>
      </x:c>
      <x:c r="T8" s="16" t="str">
        <x:v>历史排行页；待官方年鉴替换</x:v>
      </x:c>
    </x:row>
    <x:row r="9">
      <x:c r="A9" s="16" t="str">
        <x:v>南昌市</x:v>
      </x:c>
      <x:c r="B9" s="16" t="str">
        <x:v>安义县</x:v>
      </x:c>
      <x:c r="C9" s="17" t="n">
        <x:v>2021</x:v>
      </x:c>
      <x:c r="D9" s="18"/>
      <x:c r="E9" s="18"/>
      <x:c r="F9" s="17"/>
      <x:c r="G9" s="18"/>
      <x:c r="H9" s="18"/>
      <x:c r="I9" s="18"/>
      <x:c r="J9" s="18"/>
      <x:c r="K9" s="18"/>
      <x:c r="L9" s="18"/>
      <x:c r="M9" s="18"/>
      <x:c r="N9" s="17"/>
      <x:c r="O9" s="18"/>
      <x:c r="P9" s="18"/>
      <x:c r="Q9" s="18"/>
      <x:c r="R9" s="16"/>
      <x:c r="S9" s="16"/>
      <x:c r="T9" s="16"/>
    </x:row>
    <x:row r="10">
      <x:c r="A10" s="16" t="str">
        <x:v>南昌市</x:v>
      </x:c>
      <x:c r="B10" s="16" t="str">
        <x:v>安义县</x:v>
      </x:c>
      <x:c r="C10" s="17" t="n">
        <x:v>2022</x:v>
      </x:c>
      <x:c r="D10" s="18"/>
      <x:c r="E10" s="18"/>
      <x:c r="F10" s="17"/>
      <x:c r="G10" s="18"/>
      <x:c r="H10" s="18"/>
      <x:c r="I10" s="18"/>
      <x:c r="J10" s="18"/>
      <x:c r="K10" s="18"/>
      <x:c r="L10" s="18"/>
      <x:c r="M10" s="18"/>
      <x:c r="N10" s="17"/>
      <x:c r="O10" s="18"/>
      <x:c r="P10" s="18"/>
      <x:c r="Q10" s="18"/>
      <x:c r="R10" s="16"/>
      <x:c r="S10" s="16"/>
      <x:c r="T10" s="16"/>
    </x:row>
    <x:row r="11">
      <x:c r="A11" s="16" t="str">
        <x:v>南昌市</x:v>
      </x:c>
      <x:c r="B11" s="16" t="str">
        <x:v>安义县</x:v>
      </x:c>
      <x:c r="C11" s="17" t="n">
        <x:v>2023</x:v>
      </x:c>
      <x:c r="D11" s="18"/>
      <x:c r="E11" s="18"/>
      <x:c r="F11" s="17"/>
      <x:c r="G11" s="18"/>
      <x:c r="H11" s="18"/>
      <x:c r="I11" s="18"/>
      <x:c r="J11" s="18"/>
      <x:c r="K11" s="18"/>
      <x:c r="L11" s="18"/>
      <x:c r="M11" s="18"/>
      <x:c r="N11" s="17"/>
      <x:c r="O11" s="18"/>
      <x:c r="P11" s="18"/>
      <x:c r="Q11" s="18"/>
      <x:c r="R11" s="16"/>
      <x:c r="S11" s="16"/>
      <x:c r="T11" s="16"/>
    </x:row>
    <x:row r="12">
      <x:c r="A12" s="16" t="str">
        <x:v>南昌市</x:v>
      </x:c>
      <x:c r="B12" s="16" t="str">
        <x:v>安义县</x:v>
      </x:c>
      <x:c r="C12" s="17" t="n">
        <x:v>2024</x:v>
      </x:c>
      <x:c r="D12" s="18"/>
      <x:c r="E12" s="18"/>
      <x:c r="F12" s="17"/>
      <x:c r="G12" s="18"/>
      <x:c r="H12" s="18"/>
      <x:c r="I12" s="18"/>
      <x:c r="J12" s="18"/>
      <x:c r="K12" s="18"/>
      <x:c r="L12" s="18"/>
      <x:c r="M12" s="18"/>
      <x:c r="N12" s="17"/>
      <x:c r="O12" s="18"/>
      <x:c r="P12" s="18"/>
      <x:c r="Q12" s="18"/>
      <x:c r="R12" s="16"/>
      <x:c r="S12" s="16"/>
      <x:c r="T12" s="16"/>
    </x:row>
    <x:row r="13">
      <x:c r="A13" s="16" t="str">
        <x:v>南昌市</x:v>
      </x:c>
      <x:c r="B13" s="16" t="str">
        <x:v>安义县</x:v>
      </x:c>
      <x:c r="C13" s="17" t="n">
        <x:v>2025</x:v>
      </x:c>
      <x:c r="D13" s="18"/>
      <x:c r="E13" s="18"/>
      <x:c r="F13" s="17"/>
      <x:c r="G13" s="18"/>
      <x:c r="H13" s="18"/>
      <x:c r="I13" s="18"/>
      <x:c r="J13" s="18"/>
      <x:c r="K13" s="18"/>
      <x:c r="L13" s="18"/>
      <x:c r="M13" s="18"/>
      <x:c r="N13" s="17"/>
      <x:c r="O13" s="18"/>
      <x:c r="P13" s="18"/>
      <x:c r="Q13" s="18"/>
      <x:c r="R13" s="16"/>
      <x:c r="S13" s="16"/>
      <x:c r="T13" s="16"/>
    </x:row>
    <x:row r="14">
      <x:c r="A14" s="16" t="str">
        <x:v>南昌市</x:v>
      </x:c>
      <x:c r="B14" s="16" t="str">
        <x:v>进贤县</x:v>
      </x:c>
      <x:c r="C14" s="17" t="n">
        <x:v>2020</x:v>
      </x:c>
      <x:c r="D14" s="18" t="n">
        <x:v>290.1</x:v>
      </x:c>
      <x:c r="E14" s="18"/>
      <x:c r="F14" s="17"/>
      <x:c r="G14" s="18"/>
      <x:c r="H14" s="18"/>
      <x:c r="I14" s="18"/>
      <x:c r="J14" s="18"/>
      <x:c r="K14" s="18"/>
      <x:c r="L14" s="18"/>
      <x:c r="M14" s="18"/>
      <x:c r="N14" s="17"/>
      <x:c r="O14" s="18"/>
      <x:c r="P14" s="18"/>
      <x:c r="Q14" s="18"/>
      <x:c r="R14" s="16" t="str">
        <x:v>B</x:v>
      </x:c>
      <x:c r="S14" s="16" t="str">
        <x:v>https://www.maigoo.com/news/608920.html</x:v>
      </x:c>
      <x:c r="T14" s="16" t="str">
        <x:v>GDP排行聚合，来源各地统计公报</x:v>
      </x:c>
    </x:row>
    <x:row r="15">
      <x:c r="A15" s="16" t="str">
        <x:v>南昌市</x:v>
      </x:c>
      <x:c r="B15" s="16" t="str">
        <x:v>进贤县</x:v>
      </x:c>
      <x:c r="C15" s="17" t="n">
        <x:v>2021</x:v>
      </x:c>
      <x:c r="D15" s="18" t="n">
        <x:v>354.4</x:v>
      </x:c>
      <x:c r="E15" s="18"/>
      <x:c r="F15" s="17"/>
      <x:c r="G15" s="18"/>
      <x:c r="H15" s="18"/>
      <x:c r="I15" s="18"/>
      <x:c r="J15" s="18"/>
      <x:c r="K15" s="18"/>
      <x:c r="L15" s="18"/>
      <x:c r="M15" s="18"/>
      <x:c r="N15" s="17"/>
      <x:c r="O15" s="18"/>
      <x:c r="P15" s="18"/>
      <x:c r="Q15" s="18"/>
      <x:c r="R15" s="16" t="str">
        <x:v>B</x:v>
      </x:c>
      <x:c r="S15" s="16" t="str">
        <x:v>https://www.maigoo.com/news/632974.html</x:v>
      </x:c>
      <x:c r="T15" s="16" t="str">
        <x:v>GDP排行聚合，来源各地统计公报</x:v>
      </x:c>
    </x:row>
    <x:row r="16">
      <x:c r="A16" s="16" t="str">
        <x:v>南昌市</x:v>
      </x:c>
      <x:c r="B16" s="16" t="str">
        <x:v>进贤县</x:v>
      </x:c>
      <x:c r="C16" s="17" t="n">
        <x:v>2022</x:v>
      </x:c>
      <x:c r="D16" s="18"/>
      <x:c r="E16" s="18"/>
      <x:c r="F16" s="17"/>
      <x:c r="G16" s="18"/>
      <x:c r="H16" s="18"/>
      <x:c r="I16" s="18"/>
      <x:c r="J16" s="18"/>
      <x:c r="K16" s="18"/>
      <x:c r="L16" s="18"/>
      <x:c r="M16" s="18"/>
      <x:c r="N16" s="17"/>
      <x:c r="O16" s="18"/>
      <x:c r="P16" s="18"/>
      <x:c r="Q16" s="18"/>
      <x:c r="R16" s="16"/>
      <x:c r="S16" s="16"/>
      <x:c r="T16" s="16"/>
    </x:row>
    <x:row r="17">
      <x:c r="A17" s="16" t="str">
        <x:v>南昌市</x:v>
      </x:c>
      <x:c r="B17" s="16" t="str">
        <x:v>进贤县</x:v>
      </x:c>
      <x:c r="C17" s="17" t="n">
        <x:v>2023</x:v>
      </x:c>
      <x:c r="D17" s="18"/>
      <x:c r="E17" s="18"/>
      <x:c r="F17" s="17"/>
      <x:c r="G17" s="18"/>
      <x:c r="H17" s="18"/>
      <x:c r="I17" s="18"/>
      <x:c r="J17" s="18"/>
      <x:c r="K17" s="18"/>
      <x:c r="L17" s="18"/>
      <x:c r="M17" s="18"/>
      <x:c r="N17" s="17"/>
      <x:c r="O17" s="18"/>
      <x:c r="P17" s="18"/>
      <x:c r="Q17" s="18"/>
      <x:c r="R17" s="16"/>
      <x:c r="S17" s="16"/>
      <x:c r="T17" s="16"/>
    </x:row>
    <x:row r="18">
      <x:c r="A18" s="16" t="str">
        <x:v>南昌市</x:v>
      </x:c>
      <x:c r="B18" s="16" t="str">
        <x:v>进贤县</x:v>
      </x:c>
      <x:c r="C18" s="17" t="n">
        <x:v>2024</x:v>
      </x:c>
      <x:c r="D18" s="18"/>
      <x:c r="E18" s="18"/>
      <x:c r="F18" s="17"/>
      <x:c r="G18" s="18"/>
      <x:c r="H18" s="18"/>
      <x:c r="I18" s="18"/>
      <x:c r="J18" s="18"/>
      <x:c r="K18" s="18"/>
      <x:c r="L18" s="18"/>
      <x:c r="M18" s="18"/>
      <x:c r="N18" s="17"/>
      <x:c r="O18" s="18"/>
      <x:c r="P18" s="18"/>
      <x:c r="Q18" s="18"/>
      <x:c r="R18" s="16"/>
      <x:c r="S18" s="16"/>
      <x:c r="T18" s="16"/>
    </x:row>
    <x:row r="19">
      <x:c r="A19" s="16" t="str">
        <x:v>南昌市</x:v>
      </x:c>
      <x:c r="B19" s="16" t="str">
        <x:v>进贤县</x:v>
      </x:c>
      <x:c r="C19" s="17" t="n">
        <x:v>2025</x:v>
      </x:c>
      <x:c r="D19" s="18"/>
      <x:c r="E19" s="18"/>
      <x:c r="F19" s="17"/>
      <x:c r="G19" s="18"/>
      <x:c r="H19" s="18"/>
      <x:c r="I19" s="18"/>
      <x:c r="J19" s="18"/>
      <x:c r="K19" s="18"/>
      <x:c r="L19" s="18"/>
      <x:c r="M19" s="18"/>
      <x:c r="N19" s="17"/>
      <x:c r="O19" s="18"/>
      <x:c r="P19" s="18"/>
      <x:c r="Q19" s="18"/>
      <x:c r="R19" s="16"/>
      <x:c r="S19" s="16"/>
      <x:c r="T19" s="16"/>
    </x:row>
    <x:row r="20">
      <x:c r="A20" s="16" t="str">
        <x:v>景德镇市</x:v>
      </x:c>
      <x:c r="B20" s="16" t="str">
        <x:v>浮梁县</x:v>
      </x:c>
      <x:c r="C20" s="17" t="n">
        <x:v>2020</x:v>
      </x:c>
      <x:c r="D20" s="18" t="n">
        <x:v>141.8716</x:v>
      </x:c>
      <x:c r="E20" s="18"/>
      <x:c r="F20" s="17"/>
      <x:c r="G20" s="18"/>
      <x:c r="H20" s="18"/>
      <x:c r="I20" s="18"/>
      <x:c r="J20" s="18"/>
      <x:c r="K20" s="18"/>
      <x:c r="L20" s="18"/>
      <x:c r="M20" s="18"/>
      <x:c r="N20" s="17"/>
      <x:c r="O20" s="18"/>
      <x:c r="P20" s="18"/>
      <x:c r="Q20" s="18"/>
      <x:c r="R20" s="16" t="str">
        <x:v>C</x:v>
      </x:c>
      <x:c r="S20" s="16" t="str">
        <x:v>https://www.hongheiku.com/xianjirank/jxsgdp.html</x:v>
      </x:c>
      <x:c r="T20" s="16" t="str">
        <x:v>历史排行页；待官方年鉴替换</x:v>
      </x:c>
    </x:row>
    <x:row r="21">
      <x:c r="A21" s="16" t="str">
        <x:v>景德镇市</x:v>
      </x:c>
      <x:c r="B21" s="16" t="str">
        <x:v>浮梁县</x:v>
      </x:c>
      <x:c r="C21" s="17" t="n">
        <x:v>2021</x:v>
      </x:c>
      <x:c r="D21" s="18"/>
      <x:c r="E21" s="18"/>
      <x:c r="F21" s="17"/>
      <x:c r="G21" s="18"/>
      <x:c r="H21" s="18"/>
      <x:c r="I21" s="18"/>
      <x:c r="J21" s="18"/>
      <x:c r="K21" s="18"/>
      <x:c r="L21" s="18"/>
      <x:c r="M21" s="18"/>
      <x:c r="N21" s="17"/>
      <x:c r="O21" s="18"/>
      <x:c r="P21" s="18"/>
      <x:c r="Q21" s="18"/>
      <x:c r="R21" s="16"/>
      <x:c r="S21" s="16"/>
      <x:c r="T21" s="16"/>
    </x:row>
    <x:row r="22">
      <x:c r="A22" s="16" t="str">
        <x:v>景德镇市</x:v>
      </x:c>
      <x:c r="B22" s="16" t="str">
        <x:v>浮梁县</x:v>
      </x:c>
      <x:c r="C22" s="17" t="n">
        <x:v>2022</x:v>
      </x:c>
      <x:c r="D22" s="18"/>
      <x:c r="E22" s="18"/>
      <x:c r="F22" s="17"/>
      <x:c r="G22" s="18"/>
      <x:c r="H22" s="18"/>
      <x:c r="I22" s="18"/>
      <x:c r="J22" s="18"/>
      <x:c r="K22" s="18"/>
      <x:c r="L22" s="18"/>
      <x:c r="M22" s="18"/>
      <x:c r="N22" s="17"/>
      <x:c r="O22" s="18"/>
      <x:c r="P22" s="18"/>
      <x:c r="Q22" s="18"/>
      <x:c r="R22" s="16"/>
      <x:c r="S22" s="16"/>
      <x:c r="T22" s="16"/>
    </x:row>
    <x:row r="23">
      <x:c r="A23" s="16" t="str">
        <x:v>景德镇市</x:v>
      </x:c>
      <x:c r="B23" s="16" t="str">
        <x:v>浮梁县</x:v>
      </x:c>
      <x:c r="C23" s="17" t="n">
        <x:v>2023</x:v>
      </x:c>
      <x:c r="D23" s="18"/>
      <x:c r="E23" s="18"/>
      <x:c r="F23" s="17"/>
      <x:c r="G23" s="18"/>
      <x:c r="H23" s="18"/>
      <x:c r="I23" s="18"/>
      <x:c r="J23" s="18"/>
      <x:c r="K23" s="18"/>
      <x:c r="L23" s="18"/>
      <x:c r="M23" s="18"/>
      <x:c r="N23" s="17"/>
      <x:c r="O23" s="18"/>
      <x:c r="P23" s="18"/>
      <x:c r="Q23" s="18"/>
      <x:c r="R23" s="16"/>
      <x:c r="S23" s="16"/>
      <x:c r="T23" s="16"/>
    </x:row>
    <x:row r="24">
      <x:c r="A24" s="16" t="str">
        <x:v>景德镇市</x:v>
      </x:c>
      <x:c r="B24" s="16" t="str">
        <x:v>浮梁县</x:v>
      </x:c>
      <x:c r="C24" s="17" t="n">
        <x:v>2024</x:v>
      </x:c>
      <x:c r="D24" s="18"/>
      <x:c r="E24" s="18"/>
      <x:c r="F24" s="17"/>
      <x:c r="G24" s="18"/>
      <x:c r="H24" s="18"/>
      <x:c r="I24" s="18"/>
      <x:c r="J24" s="18"/>
      <x:c r="K24" s="18"/>
      <x:c r="L24" s="18"/>
      <x:c r="M24" s="18"/>
      <x:c r="N24" s="17"/>
      <x:c r="O24" s="18"/>
      <x:c r="P24" s="18"/>
      <x:c r="Q24" s="18"/>
      <x:c r="R24" s="16"/>
      <x:c r="S24" s="16"/>
      <x:c r="T24" s="16"/>
    </x:row>
    <x:row r="25">
      <x:c r="A25" s="16" t="str">
        <x:v>景德镇市</x:v>
      </x:c>
      <x:c r="B25" s="16" t="str">
        <x:v>浮梁县</x:v>
      </x:c>
      <x:c r="C25" s="17" t="n">
        <x:v>2025</x:v>
      </x:c>
      <x:c r="D25" s="18"/>
      <x:c r="E25" s="18"/>
      <x:c r="F25" s="17"/>
      <x:c r="G25" s="18"/>
      <x:c r="H25" s="18"/>
      <x:c r="I25" s="18"/>
      <x:c r="J25" s="18"/>
      <x:c r="K25" s="18"/>
      <x:c r="L25" s="18"/>
      <x:c r="M25" s="18"/>
      <x:c r="N25" s="17"/>
      <x:c r="O25" s="18"/>
      <x:c r="P25" s="18"/>
      <x:c r="Q25" s="18"/>
      <x:c r="R25" s="16"/>
      <x:c r="S25" s="16"/>
      <x:c r="T25" s="16"/>
    </x:row>
    <x:row r="26">
      <x:c r="A26" s="16" t="str">
        <x:v>景德镇市</x:v>
      </x:c>
      <x:c r="B26" s="16" t="str">
        <x:v>乐平市</x:v>
      </x:c>
      <x:c r="C26" s="17" t="n">
        <x:v>2020</x:v>
      </x:c>
      <x:c r="D26" s="18" t="n">
        <x:v>353.3</x:v>
      </x:c>
      <x:c r="E26" s="18"/>
      <x:c r="F26" s="17"/>
      <x:c r="G26" s="18"/>
      <x:c r="H26" s="18"/>
      <x:c r="I26" s="18"/>
      <x:c r="J26" s="18"/>
      <x:c r="K26" s="18"/>
      <x:c r="L26" s="18"/>
      <x:c r="M26" s="18"/>
      <x:c r="N26" s="17"/>
      <x:c r="O26" s="18"/>
      <x:c r="P26" s="18"/>
      <x:c r="Q26" s="18"/>
      <x:c r="R26" s="16" t="str">
        <x:v>B</x:v>
      </x:c>
      <x:c r="S26" s="16" t="str">
        <x:v>https://www.maigoo.com/news/608920.html</x:v>
      </x:c>
      <x:c r="T26" s="16" t="str">
        <x:v>GDP排行聚合，来源各地统计公报</x:v>
      </x:c>
    </x:row>
    <x:row r="27">
      <x:c r="A27" s="16" t="str">
        <x:v>景德镇市</x:v>
      </x:c>
      <x:c r="B27" s="16" t="str">
        <x:v>乐平市</x:v>
      </x:c>
      <x:c r="C27" s="17" t="n">
        <x:v>2021</x:v>
      </x:c>
      <x:c r="D27" s="18" t="n">
        <x:v>406.33</x:v>
      </x:c>
      <x:c r="E27" s="18"/>
      <x:c r="F27" s="17"/>
      <x:c r="G27" s="18"/>
      <x:c r="H27" s="18"/>
      <x:c r="I27" s="18"/>
      <x:c r="J27" s="18"/>
      <x:c r="K27" s="18"/>
      <x:c r="L27" s="18"/>
      <x:c r="M27" s="18"/>
      <x:c r="N27" s="17"/>
      <x:c r="O27" s="18"/>
      <x:c r="P27" s="18"/>
      <x:c r="Q27" s="18"/>
      <x:c r="R27" s="16" t="str">
        <x:v>B</x:v>
      </x:c>
      <x:c r="S27" s="16" t="str">
        <x:v>https://www.maigoo.com/news/632974.html</x:v>
      </x:c>
      <x:c r="T27" s="16" t="str">
        <x:v>GDP排行聚合，来源各地统计公报</x:v>
      </x:c>
    </x:row>
    <x:row r="28">
      <x:c r="A28" s="16" t="str">
        <x:v>景德镇市</x:v>
      </x:c>
      <x:c r="B28" s="16" t="str">
        <x:v>乐平市</x:v>
      </x:c>
      <x:c r="C28" s="17" t="n">
        <x:v>2022</x:v>
      </x:c>
      <x:c r="D28" s="18"/>
      <x:c r="E28" s="18"/>
      <x:c r="F28" s="17"/>
      <x:c r="G28" s="18"/>
      <x:c r="H28" s="18"/>
      <x:c r="I28" s="18"/>
      <x:c r="J28" s="18"/>
      <x:c r="K28" s="18"/>
      <x:c r="L28" s="18"/>
      <x:c r="M28" s="18"/>
      <x:c r="N28" s="17"/>
      <x:c r="O28" s="18"/>
      <x:c r="P28" s="18"/>
      <x:c r="Q28" s="18"/>
      <x:c r="R28" s="16"/>
      <x:c r="S28" s="16"/>
      <x:c r="T28" s="16"/>
    </x:row>
    <x:row r="29">
      <x:c r="A29" s="16" t="str">
        <x:v>景德镇市</x:v>
      </x:c>
      <x:c r="B29" s="16" t="str">
        <x:v>乐平市</x:v>
      </x:c>
      <x:c r="C29" s="17" t="n">
        <x:v>2023</x:v>
      </x:c>
      <x:c r="D29" s="18"/>
      <x:c r="E29" s="18"/>
      <x:c r="F29" s="17"/>
      <x:c r="G29" s="18"/>
      <x:c r="H29" s="18"/>
      <x:c r="I29" s="18"/>
      <x:c r="J29" s="18"/>
      <x:c r="K29" s="18"/>
      <x:c r="L29" s="18"/>
      <x:c r="M29" s="18"/>
      <x:c r="N29" s="17"/>
      <x:c r="O29" s="18"/>
      <x:c r="P29" s="18"/>
      <x:c r="Q29" s="18"/>
      <x:c r="R29" s="16"/>
      <x:c r="S29" s="16"/>
      <x:c r="T29" s="16"/>
    </x:row>
    <x:row r="30">
      <x:c r="A30" s="16" t="str">
        <x:v>景德镇市</x:v>
      </x:c>
      <x:c r="B30" s="16" t="str">
        <x:v>乐平市</x:v>
      </x:c>
      <x:c r="C30" s="17" t="n">
        <x:v>2024</x:v>
      </x:c>
      <x:c r="D30" s="18"/>
      <x:c r="E30" s="18"/>
      <x:c r="F30" s="17"/>
      <x:c r="G30" s="18"/>
      <x:c r="H30" s="18"/>
      <x:c r="I30" s="18"/>
      <x:c r="J30" s="18"/>
      <x:c r="K30" s="18"/>
      <x:c r="L30" s="18"/>
      <x:c r="M30" s="18"/>
      <x:c r="N30" s="17"/>
      <x:c r="O30" s="18"/>
      <x:c r="P30" s="18"/>
      <x:c r="Q30" s="18"/>
      <x:c r="R30" s="16"/>
      <x:c r="S30" s="16"/>
      <x:c r="T30" s="16"/>
    </x:row>
    <x:row r="31">
      <x:c r="A31" s="16" t="str">
        <x:v>景德镇市</x:v>
      </x:c>
      <x:c r="B31" s="16" t="str">
        <x:v>乐平市</x:v>
      </x:c>
      <x:c r="C31" s="17" t="n">
        <x:v>2025</x:v>
      </x:c>
      <x:c r="D31" s="18"/>
      <x:c r="E31" s="18"/>
      <x:c r="F31" s="17"/>
      <x:c r="G31" s="18"/>
      <x:c r="H31" s="18"/>
      <x:c r="I31" s="18"/>
      <x:c r="J31" s="18"/>
      <x:c r="K31" s="18"/>
      <x:c r="L31" s="18"/>
      <x:c r="M31" s="18"/>
      <x:c r="N31" s="17"/>
      <x:c r="O31" s="18"/>
      <x:c r="P31" s="18"/>
      <x:c r="Q31" s="18"/>
      <x:c r="R31" s="16"/>
      <x:c r="S31" s="16"/>
      <x:c r="T31" s="16"/>
    </x:row>
    <x:row r="32">
      <x:c r="A32" s="16" t="str">
        <x:v>萍乡市</x:v>
      </x:c>
      <x:c r="B32" s="16" t="str">
        <x:v>莲花县</x:v>
      </x:c>
      <x:c r="C32" s="17" t="n">
        <x:v>2020</x:v>
      </x:c>
      <x:c r="D32" s="18"/>
      <x:c r="E32" s="18"/>
      <x:c r="F32" s="17"/>
      <x:c r="G32" s="18"/>
      <x:c r="H32" s="18"/>
      <x:c r="I32" s="18"/>
      <x:c r="J32" s="18"/>
      <x:c r="K32" s="18"/>
      <x:c r="L32" s="18"/>
      <x:c r="M32" s="18"/>
      <x:c r="N32" s="17"/>
      <x:c r="O32" s="18"/>
      <x:c r="P32" s="18"/>
      <x:c r="Q32" s="18"/>
      <x:c r="R32" s="16"/>
      <x:c r="S32" s="16"/>
      <x:c r="T32" s="16"/>
    </x:row>
    <x:row r="33">
      <x:c r="A33" s="16" t="str">
        <x:v>萍乡市</x:v>
      </x:c>
      <x:c r="B33" s="16" t="str">
        <x:v>莲花县</x:v>
      </x:c>
      <x:c r="C33" s="17" t="n">
        <x:v>2021</x:v>
      </x:c>
      <x:c r="D33" s="18"/>
      <x:c r="E33" s="18"/>
      <x:c r="F33" s="17"/>
      <x:c r="G33" s="18"/>
      <x:c r="H33" s="18"/>
      <x:c r="I33" s="18"/>
      <x:c r="J33" s="18"/>
      <x:c r="K33" s="18"/>
      <x:c r="L33" s="18"/>
      <x:c r="M33" s="18"/>
      <x:c r="N33" s="17"/>
      <x:c r="O33" s="18"/>
      <x:c r="P33" s="18"/>
      <x:c r="Q33" s="18"/>
      <x:c r="R33" s="16"/>
      <x:c r="S33" s="16"/>
      <x:c r="T33" s="16"/>
    </x:row>
    <x:row r="34">
      <x:c r="A34" s="16" t="str">
        <x:v>萍乡市</x:v>
      </x:c>
      <x:c r="B34" s="16" t="str">
        <x:v>莲花县</x:v>
      </x:c>
      <x:c r="C34" s="17" t="n">
        <x:v>2022</x:v>
      </x:c>
      <x:c r="D34" s="18"/>
      <x:c r="E34" s="18"/>
      <x:c r="F34" s="17"/>
      <x:c r="G34" s="18"/>
      <x:c r="H34" s="18"/>
      <x:c r="I34" s="18"/>
      <x:c r="J34" s="18"/>
      <x:c r="K34" s="18"/>
      <x:c r="L34" s="18"/>
      <x:c r="M34" s="18"/>
      <x:c r="N34" s="17"/>
      <x:c r="O34" s="18"/>
      <x:c r="P34" s="18"/>
      <x:c r="Q34" s="18"/>
      <x:c r="R34" s="16"/>
      <x:c r="S34" s="16"/>
      <x:c r="T34" s="16"/>
    </x:row>
    <x:row r="35">
      <x:c r="A35" s="16" t="str">
        <x:v>萍乡市</x:v>
      </x:c>
      <x:c r="B35" s="16" t="str">
        <x:v>莲花县</x:v>
      </x:c>
      <x:c r="C35" s="17" t="n">
        <x:v>2023</x:v>
      </x:c>
      <x:c r="D35" s="18"/>
      <x:c r="E35" s="18"/>
      <x:c r="F35" s="17"/>
      <x:c r="G35" s="18"/>
      <x:c r="H35" s="18"/>
      <x:c r="I35" s="18"/>
      <x:c r="J35" s="18"/>
      <x:c r="K35" s="18"/>
      <x:c r="L35" s="18"/>
      <x:c r="M35" s="18"/>
      <x:c r="N35" s="17"/>
      <x:c r="O35" s="18"/>
      <x:c r="P35" s="18"/>
      <x:c r="Q35" s="18"/>
      <x:c r="R35" s="16"/>
      <x:c r="S35" s="16"/>
      <x:c r="T35" s="16"/>
    </x:row>
    <x:row r="36">
      <x:c r="A36" s="16" t="str">
        <x:v>萍乡市</x:v>
      </x:c>
      <x:c r="B36" s="16" t="str">
        <x:v>莲花县</x:v>
      </x:c>
      <x:c r="C36" s="17" t="n">
        <x:v>2024</x:v>
      </x:c>
      <x:c r="D36" s="18"/>
      <x:c r="E36" s="18"/>
      <x:c r="F36" s="17"/>
      <x:c r="G36" s="18"/>
      <x:c r="H36" s="18"/>
      <x:c r="I36" s="18"/>
      <x:c r="J36" s="18"/>
      <x:c r="K36" s="18"/>
      <x:c r="L36" s="18"/>
      <x:c r="M36" s="18"/>
      <x:c r="N36" s="17"/>
      <x:c r="O36" s="18"/>
      <x:c r="P36" s="18"/>
      <x:c r="Q36" s="18"/>
      <x:c r="R36" s="16"/>
      <x:c r="S36" s="16"/>
      <x:c r="T36" s="16"/>
    </x:row>
    <x:row r="37">
      <x:c r="A37" s="16" t="str">
        <x:v>萍乡市</x:v>
      </x:c>
      <x:c r="B37" s="16" t="str">
        <x:v>莲花县</x:v>
      </x:c>
      <x:c r="C37" s="17" t="n">
        <x:v>2025</x:v>
      </x:c>
      <x:c r="D37" s="18"/>
      <x:c r="E37" s="18"/>
      <x:c r="F37" s="17"/>
      <x:c r="G37" s="18"/>
      <x:c r="H37" s="18"/>
      <x:c r="I37" s="18"/>
      <x:c r="J37" s="18"/>
      <x:c r="K37" s="18"/>
      <x:c r="L37" s="18"/>
      <x:c r="M37" s="18"/>
      <x:c r="N37" s="17"/>
      <x:c r="O37" s="18"/>
      <x:c r="P37" s="18"/>
      <x:c r="Q37" s="18"/>
      <x:c r="R37" s="16"/>
      <x:c r="S37" s="16"/>
      <x:c r="T37" s="16"/>
    </x:row>
    <x:row r="38">
      <x:c r="A38" s="16" t="str">
        <x:v>萍乡市</x:v>
      </x:c>
      <x:c r="B38" s="16" t="str">
        <x:v>上栗县</x:v>
      </x:c>
      <x:c r="C38" s="17" t="n">
        <x:v>2020</x:v>
      </x:c>
      <x:c r="D38" s="18"/>
      <x:c r="E38" s="18"/>
      <x:c r="F38" s="17"/>
      <x:c r="G38" s="18"/>
      <x:c r="H38" s="18"/>
      <x:c r="I38" s="18"/>
      <x:c r="J38" s="18"/>
      <x:c r="K38" s="18"/>
      <x:c r="L38" s="18"/>
      <x:c r="M38" s="18"/>
      <x:c r="N38" s="17"/>
      <x:c r="O38" s="18"/>
      <x:c r="P38" s="18"/>
      <x:c r="Q38" s="18"/>
      <x:c r="R38" s="16"/>
      <x:c r="S38" s="16"/>
      <x:c r="T38" s="16"/>
    </x:row>
    <x:row r="39">
      <x:c r="A39" s="16" t="str">
        <x:v>萍乡市</x:v>
      </x:c>
      <x:c r="B39" s="16" t="str">
        <x:v>上栗县</x:v>
      </x:c>
      <x:c r="C39" s="17" t="n">
        <x:v>2021</x:v>
      </x:c>
      <x:c r="D39" s="18"/>
      <x:c r="E39" s="18"/>
      <x:c r="F39" s="17"/>
      <x:c r="G39" s="18"/>
      <x:c r="H39" s="18"/>
      <x:c r="I39" s="18"/>
      <x:c r="J39" s="18"/>
      <x:c r="K39" s="18"/>
      <x:c r="L39" s="18"/>
      <x:c r="M39" s="18"/>
      <x:c r="N39" s="17"/>
      <x:c r="O39" s="18"/>
      <x:c r="P39" s="18"/>
      <x:c r="Q39" s="18"/>
      <x:c r="R39" s="16"/>
      <x:c r="S39" s="16"/>
      <x:c r="T39" s="16"/>
    </x:row>
    <x:row r="40">
      <x:c r="A40" s="16" t="str">
        <x:v>萍乡市</x:v>
      </x:c>
      <x:c r="B40" s="16" t="str">
        <x:v>上栗县</x:v>
      </x:c>
      <x:c r="C40" s="17" t="n">
        <x:v>2022</x:v>
      </x:c>
      <x:c r="D40" s="18"/>
      <x:c r="E40" s="18"/>
      <x:c r="F40" s="17"/>
      <x:c r="G40" s="18"/>
      <x:c r="H40" s="18"/>
      <x:c r="I40" s="18"/>
      <x:c r="J40" s="18"/>
      <x:c r="K40" s="18"/>
      <x:c r="L40" s="18"/>
      <x:c r="M40" s="18"/>
      <x:c r="N40" s="17"/>
      <x:c r="O40" s="18"/>
      <x:c r="P40" s="18"/>
      <x:c r="Q40" s="18"/>
      <x:c r="R40" s="16"/>
      <x:c r="S40" s="16"/>
      <x:c r="T40" s="16"/>
    </x:row>
    <x:row r="41">
      <x:c r="A41" s="16" t="str">
        <x:v>萍乡市</x:v>
      </x:c>
      <x:c r="B41" s="16" t="str">
        <x:v>上栗县</x:v>
      </x:c>
      <x:c r="C41" s="17" t="n">
        <x:v>2023</x:v>
      </x:c>
      <x:c r="D41" s="18"/>
      <x:c r="E41" s="18"/>
      <x:c r="F41" s="17"/>
      <x:c r="G41" s="18"/>
      <x:c r="H41" s="18"/>
      <x:c r="I41" s="18"/>
      <x:c r="J41" s="18"/>
      <x:c r="K41" s="18"/>
      <x:c r="L41" s="18"/>
      <x:c r="M41" s="18"/>
      <x:c r="N41" s="17"/>
      <x:c r="O41" s="18"/>
      <x:c r="P41" s="18"/>
      <x:c r="Q41" s="18"/>
      <x:c r="R41" s="16"/>
      <x:c r="S41" s="16"/>
      <x:c r="T41" s="16"/>
    </x:row>
    <x:row r="42">
      <x:c r="A42" s="16" t="str">
        <x:v>萍乡市</x:v>
      </x:c>
      <x:c r="B42" s="16" t="str">
        <x:v>上栗县</x:v>
      </x:c>
      <x:c r="C42" s="17" t="n">
        <x:v>2024</x:v>
      </x:c>
      <x:c r="D42" s="18"/>
      <x:c r="E42" s="18"/>
      <x:c r="F42" s="17"/>
      <x:c r="G42" s="18"/>
      <x:c r="H42" s="18"/>
      <x:c r="I42" s="18"/>
      <x:c r="J42" s="18"/>
      <x:c r="K42" s="18"/>
      <x:c r="L42" s="18"/>
      <x:c r="M42" s="18"/>
      <x:c r="N42" s="17"/>
      <x:c r="O42" s="18"/>
      <x:c r="P42" s="18"/>
      <x:c r="Q42" s="18"/>
      <x:c r="R42" s="16"/>
      <x:c r="S42" s="16"/>
      <x:c r="T42" s="16"/>
    </x:row>
    <x:row r="43">
      <x:c r="A43" s="16" t="str">
        <x:v>萍乡市</x:v>
      </x:c>
      <x:c r="B43" s="16" t="str">
        <x:v>上栗县</x:v>
      </x:c>
      <x:c r="C43" s="17" t="n">
        <x:v>2025</x:v>
      </x:c>
      <x:c r="D43" s="18"/>
      <x:c r="E43" s="18"/>
      <x:c r="F43" s="17"/>
      <x:c r="G43" s="18"/>
      <x:c r="H43" s="18"/>
      <x:c r="I43" s="18"/>
      <x:c r="J43" s="18"/>
      <x:c r="K43" s="18"/>
      <x:c r="L43" s="18"/>
      <x:c r="M43" s="18"/>
      <x:c r="N43" s="17"/>
      <x:c r="O43" s="18"/>
      <x:c r="P43" s="18"/>
      <x:c r="Q43" s="18"/>
      <x:c r="R43" s="16"/>
      <x:c r="S43" s="16"/>
      <x:c r="T43" s="16"/>
    </x:row>
    <x:row r="44">
      <x:c r="A44" s="16" t="str">
        <x:v>萍乡市</x:v>
      </x:c>
      <x:c r="B44" s="16" t="str">
        <x:v>芦溪县</x:v>
      </x:c>
      <x:c r="C44" s="17" t="n">
        <x:v>2020</x:v>
      </x:c>
      <x:c r="D44" s="18" t="n">
        <x:v>115.3901</x:v>
      </x:c>
      <x:c r="E44" s="18"/>
      <x:c r="F44" s="17"/>
      <x:c r="G44" s="18"/>
      <x:c r="H44" s="18"/>
      <x:c r="I44" s="18"/>
      <x:c r="J44" s="18"/>
      <x:c r="K44" s="18"/>
      <x:c r="L44" s="18"/>
      <x:c r="M44" s="18"/>
      <x:c r="N44" s="17"/>
      <x:c r="O44" s="18"/>
      <x:c r="P44" s="18"/>
      <x:c r="Q44" s="18"/>
      <x:c r="R44" s="16" t="str">
        <x:v>C</x:v>
      </x:c>
      <x:c r="S44" s="16" t="str">
        <x:v>https://www.hongheiku.com/xianjirank/jxsgdp.html</x:v>
      </x:c>
      <x:c r="T44" s="16" t="str">
        <x:v>历史排行页；待官方年鉴替换</x:v>
      </x:c>
    </x:row>
    <x:row r="45">
      <x:c r="A45" s="16" t="str">
        <x:v>萍乡市</x:v>
      </x:c>
      <x:c r="B45" s="16" t="str">
        <x:v>芦溪县</x:v>
      </x:c>
      <x:c r="C45" s="17" t="n">
        <x:v>2021</x:v>
      </x:c>
      <x:c r="D45" s="18"/>
      <x:c r="E45" s="18"/>
      <x:c r="F45" s="17"/>
      <x:c r="G45" s="18"/>
      <x:c r="H45" s="18"/>
      <x:c r="I45" s="18"/>
      <x:c r="J45" s="18"/>
      <x:c r="K45" s="18"/>
      <x:c r="L45" s="18"/>
      <x:c r="M45" s="18"/>
      <x:c r="N45" s="17"/>
      <x:c r="O45" s="18"/>
      <x:c r="P45" s="18"/>
      <x:c r="Q45" s="18"/>
      <x:c r="R45" s="16"/>
      <x:c r="S45" s="16"/>
      <x:c r="T45" s="16"/>
    </x:row>
    <x:row r="46">
      <x:c r="A46" s="16" t="str">
        <x:v>萍乡市</x:v>
      </x:c>
      <x:c r="B46" s="16" t="str">
        <x:v>芦溪县</x:v>
      </x:c>
      <x:c r="C46" s="17" t="n">
        <x:v>2022</x:v>
      </x:c>
      <x:c r="D46" s="18"/>
      <x:c r="E46" s="18"/>
      <x:c r="F46" s="17"/>
      <x:c r="G46" s="18"/>
      <x:c r="H46" s="18"/>
      <x:c r="I46" s="18"/>
      <x:c r="J46" s="18"/>
      <x:c r="K46" s="18"/>
      <x:c r="L46" s="18"/>
      <x:c r="M46" s="18"/>
      <x:c r="N46" s="17"/>
      <x:c r="O46" s="18"/>
      <x:c r="P46" s="18"/>
      <x:c r="Q46" s="18"/>
      <x:c r="R46" s="16"/>
      <x:c r="S46" s="16"/>
      <x:c r="T46" s="16"/>
    </x:row>
    <x:row r="47">
      <x:c r="A47" s="16" t="str">
        <x:v>萍乡市</x:v>
      </x:c>
      <x:c r="B47" s="16" t="str">
        <x:v>芦溪县</x:v>
      </x:c>
      <x:c r="C47" s="17" t="n">
        <x:v>2023</x:v>
      </x:c>
      <x:c r="D47" s="18"/>
      <x:c r="E47" s="18"/>
      <x:c r="F47" s="17"/>
      <x:c r="G47" s="18"/>
      <x:c r="H47" s="18"/>
      <x:c r="I47" s="18"/>
      <x:c r="J47" s="18"/>
      <x:c r="K47" s="18"/>
      <x:c r="L47" s="18"/>
      <x:c r="M47" s="18"/>
      <x:c r="N47" s="17"/>
      <x:c r="O47" s="18"/>
      <x:c r="P47" s="18"/>
      <x:c r="Q47" s="18"/>
      <x:c r="R47" s="16"/>
      <x:c r="S47" s="16"/>
      <x:c r="T47" s="16"/>
    </x:row>
    <x:row r="48">
      <x:c r="A48" s="16" t="str">
        <x:v>萍乡市</x:v>
      </x:c>
      <x:c r="B48" s="16" t="str">
        <x:v>芦溪县</x:v>
      </x:c>
      <x:c r="C48" s="17" t="n">
        <x:v>2024</x:v>
      </x:c>
      <x:c r="D48" s="18"/>
      <x:c r="E48" s="18"/>
      <x:c r="F48" s="17"/>
      <x:c r="G48" s="18"/>
      <x:c r="H48" s="18"/>
      <x:c r="I48" s="18"/>
      <x:c r="J48" s="18"/>
      <x:c r="K48" s="18"/>
      <x:c r="L48" s="18"/>
      <x:c r="M48" s="18"/>
      <x:c r="N48" s="17"/>
      <x:c r="O48" s="18"/>
      <x:c r="P48" s="18"/>
      <x:c r="Q48" s="18"/>
      <x:c r="R48" s="16"/>
      <x:c r="S48" s="16"/>
      <x:c r="T48" s="16"/>
    </x:row>
    <x:row r="49">
      <x:c r="A49" s="16" t="str">
        <x:v>萍乡市</x:v>
      </x:c>
      <x:c r="B49" s="16" t="str">
        <x:v>芦溪县</x:v>
      </x:c>
      <x:c r="C49" s="17" t="n">
        <x:v>2025</x:v>
      </x:c>
      <x:c r="D49" s="18"/>
      <x:c r="E49" s="18"/>
      <x:c r="F49" s="17"/>
      <x:c r="G49" s="18"/>
      <x:c r="H49" s="18"/>
      <x:c r="I49" s="18"/>
      <x:c r="J49" s="18"/>
      <x:c r="K49" s="18"/>
      <x:c r="L49" s="18"/>
      <x:c r="M49" s="18"/>
      <x:c r="N49" s="17"/>
      <x:c r="O49" s="18"/>
      <x:c r="P49" s="18"/>
      <x:c r="Q49" s="18"/>
      <x:c r="R49" s="16"/>
      <x:c r="S49" s="16"/>
      <x:c r="T49" s="16"/>
    </x:row>
    <x:row r="50">
      <x:c r="A50" s="16" t="str">
        <x:v>九江市</x:v>
      </x:c>
      <x:c r="B50" s="16" t="str">
        <x:v>武宁县</x:v>
      </x:c>
      <x:c r="C50" s="17" t="n">
        <x:v>2020</x:v>
      </x:c>
      <x:c r="D50" s="18"/>
      <x:c r="E50" s="18"/>
      <x:c r="F50" s="17"/>
      <x:c r="G50" s="18"/>
      <x:c r="H50" s="18"/>
      <x:c r="I50" s="18"/>
      <x:c r="J50" s="18"/>
      <x:c r="K50" s="18"/>
      <x:c r="L50" s="18"/>
      <x:c r="M50" s="18"/>
      <x:c r="N50" s="17"/>
      <x:c r="O50" s="18"/>
      <x:c r="P50" s="18"/>
      <x:c r="Q50" s="18"/>
      <x:c r="R50" s="16"/>
      <x:c r="S50" s="16"/>
      <x:c r="T50" s="16"/>
    </x:row>
    <x:row r="51">
      <x:c r="A51" s="16" t="str">
        <x:v>九江市</x:v>
      </x:c>
      <x:c r="B51" s="16" t="str">
        <x:v>武宁县</x:v>
      </x:c>
      <x:c r="C51" s="17" t="n">
        <x:v>2021</x:v>
      </x:c>
      <x:c r="D51" s="18"/>
      <x:c r="E51" s="18"/>
      <x:c r="F51" s="17"/>
      <x:c r="G51" s="18"/>
      <x:c r="H51" s="18"/>
      <x:c r="I51" s="18"/>
      <x:c r="J51" s="18"/>
      <x:c r="K51" s="18"/>
      <x:c r="L51" s="18"/>
      <x:c r="M51" s="18"/>
      <x:c r="N51" s="17"/>
      <x:c r="O51" s="18"/>
      <x:c r="P51" s="18"/>
      <x:c r="Q51" s="18"/>
      <x:c r="R51" s="16"/>
      <x:c r="S51" s="16"/>
      <x:c r="T51" s="16"/>
    </x:row>
    <x:row r="52">
      <x:c r="A52" s="16" t="str">
        <x:v>九江市</x:v>
      </x:c>
      <x:c r="B52" s="16" t="str">
        <x:v>武宁县</x:v>
      </x:c>
      <x:c r="C52" s="17" t="n">
        <x:v>2022</x:v>
      </x:c>
      <x:c r="D52" s="18" t="n">
        <x:v>218.29</x:v>
      </x:c>
      <x:c r="E52" s="18"/>
      <x:c r="F52" s="17"/>
      <x:c r="G52" s="18"/>
      <x:c r="H52" s="18"/>
      <x:c r="I52" s="18"/>
      <x:c r="J52" s="18"/>
      <x:c r="K52" s="18"/>
      <x:c r="L52" s="18"/>
      <x:c r="M52" s="18"/>
      <x:c r="N52" s="17"/>
      <x:c r="O52" s="18"/>
      <x:c r="P52" s="18"/>
      <x:c r="Q52" s="18"/>
      <x:c r="R52" s="16" t="str">
        <x:v>B</x:v>
      </x:c>
      <x:c r="S52" s="16" t="str">
        <x:v>https://www.maigoo.com/news/672100.html</x:v>
      </x:c>
      <x:c r="T52" s="16" t="str">
        <x:v>九江县域GDP聚合</x:v>
      </x:c>
    </x:row>
    <x:row r="53">
      <x:c r="A53" s="16" t="str">
        <x:v>九江市</x:v>
      </x:c>
      <x:c r="B53" s="16" t="str">
        <x:v>武宁县</x:v>
      </x:c>
      <x:c r="C53" s="17" t="n">
        <x:v>2023</x:v>
      </x:c>
      <x:c r="D53" s="18"/>
      <x:c r="E53" s="18"/>
      <x:c r="F53" s="17"/>
      <x:c r="G53" s="18"/>
      <x:c r="H53" s="18"/>
      <x:c r="I53" s="18"/>
      <x:c r="J53" s="18"/>
      <x:c r="K53" s="18"/>
      <x:c r="L53" s="18"/>
      <x:c r="M53" s="18"/>
      <x:c r="N53" s="17"/>
      <x:c r="O53" s="18"/>
      <x:c r="P53" s="18"/>
      <x:c r="Q53" s="18"/>
      <x:c r="R53" s="16"/>
      <x:c r="S53" s="16"/>
      <x:c r="T53" s="16"/>
    </x:row>
    <x:row r="54">
      <x:c r="A54" s="16" t="str">
        <x:v>九江市</x:v>
      </x:c>
      <x:c r="B54" s="16" t="str">
        <x:v>武宁县</x:v>
      </x:c>
      <x:c r="C54" s="17" t="n">
        <x:v>2024</x:v>
      </x:c>
      <x:c r="D54" s="18"/>
      <x:c r="E54" s="18"/>
      <x:c r="F54" s="17"/>
      <x:c r="G54" s="18"/>
      <x:c r="H54" s="18"/>
      <x:c r="I54" s="18"/>
      <x:c r="J54" s="18"/>
      <x:c r="K54" s="18"/>
      <x:c r="L54" s="18"/>
      <x:c r="M54" s="18"/>
      <x:c r="N54" s="17"/>
      <x:c r="O54" s="18"/>
      <x:c r="P54" s="18"/>
      <x:c r="Q54" s="18"/>
      <x:c r="R54" s="16"/>
      <x:c r="S54" s="16"/>
      <x:c r="T54" s="16"/>
    </x:row>
    <x:row r="55">
      <x:c r="A55" s="16" t="str">
        <x:v>九江市</x:v>
      </x:c>
      <x:c r="B55" s="16" t="str">
        <x:v>武宁县</x:v>
      </x:c>
      <x:c r="C55" s="17" t="n">
        <x:v>2025</x:v>
      </x:c>
      <x:c r="D55" s="18"/>
      <x:c r="E55" s="18"/>
      <x:c r="F55" s="17"/>
      <x:c r="G55" s="18"/>
      <x:c r="H55" s="18"/>
      <x:c r="I55" s="18"/>
      <x:c r="J55" s="18"/>
      <x:c r="K55" s="18"/>
      <x:c r="L55" s="18"/>
      <x:c r="M55" s="18"/>
      <x:c r="N55" s="17"/>
      <x:c r="O55" s="18"/>
      <x:c r="P55" s="18"/>
      <x:c r="Q55" s="18"/>
      <x:c r="R55" s="16"/>
      <x:c r="S55" s="16"/>
      <x:c r="T55" s="16"/>
    </x:row>
    <x:row r="56">
      <x:c r="A56" s="16" t="str">
        <x:v>九江市</x:v>
      </x:c>
      <x:c r="B56" s="16" t="str">
        <x:v>修水县</x:v>
      </x:c>
      <x:c r="C56" s="17" t="n">
        <x:v>2020</x:v>
      </x:c>
      <x:c r="D56" s="18" t="n">
        <x:v>257</x:v>
      </x:c>
      <x:c r="E56" s="18"/>
      <x:c r="F56" s="17"/>
      <x:c r="G56" s="18"/>
      <x:c r="H56" s="18"/>
      <x:c r="I56" s="18"/>
      <x:c r="J56" s="18"/>
      <x:c r="K56" s="18"/>
      <x:c r="L56" s="18"/>
      <x:c r="M56" s="18"/>
      <x:c r="N56" s="17"/>
      <x:c r="O56" s="18"/>
      <x:c r="P56" s="18"/>
      <x:c r="Q56" s="18"/>
      <x:c r="R56" s="16" t="str">
        <x:v>B</x:v>
      </x:c>
      <x:c r="S56" s="16" t="str">
        <x:v>https://www.maigoo.com/news/608920.html</x:v>
      </x:c>
      <x:c r="T56" s="16" t="str">
        <x:v>GDP排行聚合，来源各地统计公报</x:v>
      </x:c>
    </x:row>
    <x:row r="57">
      <x:c r="A57" s="16" t="str">
        <x:v>九江市</x:v>
      </x:c>
      <x:c r="B57" s="16" t="str">
        <x:v>修水县</x:v>
      </x:c>
      <x:c r="C57" s="17" t="n">
        <x:v>2021</x:v>
      </x:c>
      <x:c r="D57" s="18" t="n">
        <x:v>293.56</x:v>
      </x:c>
      <x:c r="E57" s="18"/>
      <x:c r="F57" s="17"/>
      <x:c r="G57" s="18"/>
      <x:c r="H57" s="18"/>
      <x:c r="I57" s="18"/>
      <x:c r="J57" s="18"/>
      <x:c r="K57" s="18"/>
      <x:c r="L57" s="18"/>
      <x:c r="M57" s="18"/>
      <x:c r="N57" s="17"/>
      <x:c r="O57" s="18"/>
      <x:c r="P57" s="18"/>
      <x:c r="Q57" s="18"/>
      <x:c r="R57" s="16" t="str">
        <x:v>B</x:v>
      </x:c>
      <x:c r="S57" s="16" t="str">
        <x:v>https://www.maigoo.com/news/632974.html</x:v>
      </x:c>
      <x:c r="T57" s="16" t="str">
        <x:v>GDP排行聚合，来源各地统计公报</x:v>
      </x:c>
    </x:row>
    <x:row r="58">
      <x:c r="A58" s="16" t="str">
        <x:v>九江市</x:v>
      </x:c>
      <x:c r="B58" s="16" t="str">
        <x:v>修水县</x:v>
      </x:c>
      <x:c r="C58" s="17" t="n">
        <x:v>2022</x:v>
      </x:c>
      <x:c r="D58" s="18" t="n">
        <x:v>305.47</x:v>
      </x:c>
      <x:c r="E58" s="18"/>
      <x:c r="F58" s="17"/>
      <x:c r="G58" s="18"/>
      <x:c r="H58" s="18"/>
      <x:c r="I58" s="18"/>
      <x:c r="J58" s="18"/>
      <x:c r="K58" s="18"/>
      <x:c r="L58" s="18"/>
      <x:c r="M58" s="18"/>
      <x:c r="N58" s="17"/>
      <x:c r="O58" s="18"/>
      <x:c r="P58" s="18"/>
      <x:c r="Q58" s="18"/>
      <x:c r="R58" s="16" t="str">
        <x:v>B</x:v>
      </x:c>
      <x:c r="S58" s="16" t="str">
        <x:v>https://www.maigoo.com/news/672100.html</x:v>
      </x:c>
      <x:c r="T58" s="16" t="str">
        <x:v>九江县域GDP聚合</x:v>
      </x:c>
    </x:row>
    <x:row r="59">
      <x:c r="A59" s="16" t="str">
        <x:v>九江市</x:v>
      </x:c>
      <x:c r="B59" s="16" t="str">
        <x:v>修水县</x:v>
      </x:c>
      <x:c r="C59" s="17" t="n">
        <x:v>2023</x:v>
      </x:c>
      <x:c r="D59" s="18"/>
      <x:c r="E59" s="18"/>
      <x:c r="F59" s="17"/>
      <x:c r="G59" s="18"/>
      <x:c r="H59" s="18"/>
      <x:c r="I59" s="18"/>
      <x:c r="J59" s="18"/>
      <x:c r="K59" s="18"/>
      <x:c r="L59" s="18"/>
      <x:c r="M59" s="18"/>
      <x:c r="N59" s="17"/>
      <x:c r="O59" s="18"/>
      <x:c r="P59" s="18"/>
      <x:c r="Q59" s="18"/>
      <x:c r="R59" s="16"/>
      <x:c r="S59" s="16"/>
      <x:c r="T59" s="16"/>
    </x:row>
    <x:row r="60">
      <x:c r="A60" s="16" t="str">
        <x:v>九江市</x:v>
      </x:c>
      <x:c r="B60" s="16" t="str">
        <x:v>修水县</x:v>
      </x:c>
      <x:c r="C60" s="17" t="n">
        <x:v>2024</x:v>
      </x:c>
      <x:c r="D60" s="18"/>
      <x:c r="E60" s="18"/>
      <x:c r="F60" s="17"/>
      <x:c r="G60" s="18"/>
      <x:c r="H60" s="18"/>
      <x:c r="I60" s="18"/>
      <x:c r="J60" s="18"/>
      <x:c r="K60" s="18"/>
      <x:c r="L60" s="18"/>
      <x:c r="M60" s="18"/>
      <x:c r="N60" s="17"/>
      <x:c r="O60" s="18"/>
      <x:c r="P60" s="18"/>
      <x:c r="Q60" s="18"/>
      <x:c r="R60" s="16"/>
      <x:c r="S60" s="16"/>
      <x:c r="T60" s="16"/>
    </x:row>
    <x:row r="61">
      <x:c r="A61" s="16" t="str">
        <x:v>九江市</x:v>
      </x:c>
      <x:c r="B61" s="16" t="str">
        <x:v>修水县</x:v>
      </x:c>
      <x:c r="C61" s="17" t="n">
        <x:v>2025</x:v>
      </x:c>
      <x:c r="D61" s="18"/>
      <x:c r="E61" s="18"/>
      <x:c r="F61" s="17"/>
      <x:c r="G61" s="18"/>
      <x:c r="H61" s="18"/>
      <x:c r="I61" s="18"/>
      <x:c r="J61" s="18"/>
      <x:c r="K61" s="18"/>
      <x:c r="L61" s="18"/>
      <x:c r="M61" s="18"/>
      <x:c r="N61" s="17"/>
      <x:c r="O61" s="18"/>
      <x:c r="P61" s="18"/>
      <x:c r="Q61" s="18"/>
      <x:c r="R61" s="16"/>
      <x:c r="S61" s="16"/>
      <x:c r="T61" s="16"/>
    </x:row>
    <x:row r="62">
      <x:c r="A62" s="16" t="str">
        <x:v>九江市</x:v>
      </x:c>
      <x:c r="B62" s="16" t="str">
        <x:v>永修县</x:v>
      </x:c>
      <x:c r="C62" s="17" t="n">
        <x:v>2020</x:v>
      </x:c>
      <x:c r="D62" s="18"/>
      <x:c r="E62" s="18" t="n">
        <x:v>31.6365</x:v>
      </x:c>
      <x:c r="F62" s="17"/>
      <x:c r="G62" s="18"/>
      <x:c r="H62" s="18"/>
      <x:c r="I62" s="18"/>
      <x:c r="J62" s="18"/>
      <x:c r="K62" s="18"/>
      <x:c r="L62" s="18"/>
      <x:c r="M62" s="18"/>
      <x:c r="N62" s="17"/>
      <x:c r="O62" s="18"/>
      <x:c r="P62" s="18"/>
      <x:c r="Q62" s="18"/>
      <x:c r="R62" s="16" t="str">
        <x:v>A</x:v>
      </x:c>
      <x:c r="S62" s="16" t="str">
        <x:v>https://www.yongxiu.gov.cn/zwgk/zdlyxxgk/tjxx/tjgb/202105/t20210531_5007449.html</x:v>
      </x:c>
      <x:c r="T62" s="16" t="str">
        <x:v>第七次人口普查公报</x:v>
      </x:c>
    </x:row>
    <x:row r="63">
      <x:c r="A63" s="16" t="str">
        <x:v>九江市</x:v>
      </x:c>
      <x:c r="B63" s="16" t="str">
        <x:v>永修县</x:v>
      </x:c>
      <x:c r="C63" s="17" t="n">
        <x:v>2021</x:v>
      </x:c>
      <x:c r="D63" s="18" t="n">
        <x:v>291.18</x:v>
      </x:c>
      <x:c r="E63" s="18"/>
      <x:c r="F63" s="17"/>
      <x:c r="G63" s="18"/>
      <x:c r="H63" s="18"/>
      <x:c r="I63" s="18"/>
      <x:c r="J63" s="18"/>
      <x:c r="K63" s="18"/>
      <x:c r="L63" s="18"/>
      <x:c r="M63" s="18"/>
      <x:c r="N63" s="17"/>
      <x:c r="O63" s="18"/>
      <x:c r="P63" s="18"/>
      <x:c r="Q63" s="18"/>
      <x:c r="R63" s="16" t="str">
        <x:v>B</x:v>
      </x:c>
      <x:c r="S63" s="16" t="str">
        <x:v>https://www.maigoo.com/news/632974.html</x:v>
      </x:c>
      <x:c r="T63" s="16" t="str">
        <x:v>GDP排行聚合，来源各地统计公报</x:v>
      </x:c>
    </x:row>
    <x:row r="64">
      <x:c r="A64" s="16" t="str">
        <x:v>九江市</x:v>
      </x:c>
      <x:c r="B64" s="16" t="str">
        <x:v>永修县</x:v>
      </x:c>
      <x:c r="C64" s="17" t="n">
        <x:v>2022</x:v>
      </x:c>
      <x:c r="D64" s="18" t="n">
        <x:v>315.65</x:v>
      </x:c>
      <x:c r="E64" s="18"/>
      <x:c r="F64" s="17"/>
      <x:c r="G64" s="18"/>
      <x:c r="H64" s="18"/>
      <x:c r="I64" s="18"/>
      <x:c r="J64" s="18"/>
      <x:c r="K64" s="18"/>
      <x:c r="L64" s="18"/>
      <x:c r="M64" s="18"/>
      <x:c r="N64" s="17"/>
      <x:c r="O64" s="18"/>
      <x:c r="P64" s="18"/>
      <x:c r="Q64" s="18"/>
      <x:c r="R64" s="16" t="str">
        <x:v>B</x:v>
      </x:c>
      <x:c r="S64" s="16" t="str">
        <x:v>https://www.maigoo.com/news/672100.html</x:v>
      </x:c>
      <x:c r="T64" s="16" t="str">
        <x:v>九江县域GDP聚合</x:v>
      </x:c>
    </x:row>
    <x:row r="65">
      <x:c r="A65" s="16" t="str">
        <x:v>九江市</x:v>
      </x:c>
      <x:c r="B65" s="16" t="str">
        <x:v>永修县</x:v>
      </x:c>
      <x:c r="C65" s="17" t="n">
        <x:v>2023</x:v>
      </x:c>
      <x:c r="D65" s="18"/>
      <x:c r="E65" s="18"/>
      <x:c r="F65" s="17"/>
      <x:c r="G65" s="18"/>
      <x:c r="H65" s="18"/>
      <x:c r="I65" s="18"/>
      <x:c r="J65" s="18"/>
      <x:c r="K65" s="18"/>
      <x:c r="L65" s="18"/>
      <x:c r="M65" s="18"/>
      <x:c r="N65" s="17"/>
      <x:c r="O65" s="18"/>
      <x:c r="P65" s="18"/>
      <x:c r="Q65" s="18"/>
      <x:c r="R65" s="16"/>
      <x:c r="S65" s="16"/>
      <x:c r="T65" s="16"/>
    </x:row>
    <x:row r="66">
      <x:c r="A66" s="16" t="str">
        <x:v>九江市</x:v>
      </x:c>
      <x:c r="B66" s="16" t="str">
        <x:v>永修县</x:v>
      </x:c>
      <x:c r="C66" s="17" t="n">
        <x:v>2024</x:v>
      </x:c>
      <x:c r="D66" s="18"/>
      <x:c r="E66" s="18"/>
      <x:c r="F66" s="17"/>
      <x:c r="G66" s="18"/>
      <x:c r="H66" s="18"/>
      <x:c r="I66" s="18"/>
      <x:c r="J66" s="18"/>
      <x:c r="K66" s="18"/>
      <x:c r="L66" s="18"/>
      <x:c r="M66" s="18"/>
      <x:c r="N66" s="17"/>
      <x:c r="O66" s="18"/>
      <x:c r="P66" s="18"/>
      <x:c r="Q66" s="18"/>
      <x:c r="R66" s="16"/>
      <x:c r="S66" s="16"/>
      <x:c r="T66" s="16"/>
    </x:row>
    <x:row r="67">
      <x:c r="A67" s="16" t="str">
        <x:v>九江市</x:v>
      </x:c>
      <x:c r="B67" s="16" t="str">
        <x:v>永修县</x:v>
      </x:c>
      <x:c r="C67" s="17" t="n">
        <x:v>2025</x:v>
      </x:c>
      <x:c r="D67" s="18"/>
      <x:c r="E67" s="18"/>
      <x:c r="F67" s="17"/>
      <x:c r="G67" s="18"/>
      <x:c r="H67" s="18"/>
      <x:c r="I67" s="18"/>
      <x:c r="J67" s="18"/>
      <x:c r="K67" s="18"/>
      <x:c r="L67" s="18"/>
      <x:c r="M67" s="18"/>
      <x:c r="N67" s="17"/>
      <x:c r="O67" s="18"/>
      <x:c r="P67" s="18"/>
      <x:c r="Q67" s="18"/>
      <x:c r="R67" s="16"/>
      <x:c r="S67" s="16"/>
      <x:c r="T67" s="16"/>
    </x:row>
    <x:row r="68">
      <x:c r="A68" s="16" t="str">
        <x:v>九江市</x:v>
      </x:c>
      <x:c r="B68" s="16" t="str">
        <x:v>德安县</x:v>
      </x:c>
      <x:c r="C68" s="17" t="n">
        <x:v>2020</x:v>
      </x:c>
      <x:c r="D68" s="18"/>
      <x:c r="E68" s="18"/>
      <x:c r="F68" s="17"/>
      <x:c r="G68" s="18"/>
      <x:c r="H68" s="18"/>
      <x:c r="I68" s="18"/>
      <x:c r="J68" s="18"/>
      <x:c r="K68" s="18"/>
      <x:c r="L68" s="18"/>
      <x:c r="M68" s="18"/>
      <x:c r="N68" s="17"/>
      <x:c r="O68" s="18"/>
      <x:c r="P68" s="18"/>
      <x:c r="Q68" s="18"/>
      <x:c r="R68" s="16"/>
      <x:c r="S68" s="16"/>
      <x:c r="T68" s="16"/>
    </x:row>
    <x:row r="69">
      <x:c r="A69" s="16" t="str">
        <x:v>九江市</x:v>
      </x:c>
      <x:c r="B69" s="16" t="str">
        <x:v>德安县</x:v>
      </x:c>
      <x:c r="C69" s="17" t="n">
        <x:v>2021</x:v>
      </x:c>
      <x:c r="D69" s="18"/>
      <x:c r="E69" s="18"/>
      <x:c r="F69" s="17"/>
      <x:c r="G69" s="18"/>
      <x:c r="H69" s="18"/>
      <x:c r="I69" s="18"/>
      <x:c r="J69" s="18"/>
      <x:c r="K69" s="18"/>
      <x:c r="L69" s="18"/>
      <x:c r="M69" s="18"/>
      <x:c r="N69" s="17"/>
      <x:c r="O69" s="18"/>
      <x:c r="P69" s="18"/>
      <x:c r="Q69" s="18"/>
      <x:c r="R69" s="16"/>
      <x:c r="S69" s="16"/>
      <x:c r="T69" s="16"/>
    </x:row>
    <x:row r="70">
      <x:c r="A70" s="16" t="str">
        <x:v>九江市</x:v>
      </x:c>
      <x:c r="B70" s="16" t="str">
        <x:v>德安县</x:v>
      </x:c>
      <x:c r="C70" s="17" t="n">
        <x:v>2022</x:v>
      </x:c>
      <x:c r="D70" s="18" t="n">
        <x:v>189.51</x:v>
      </x:c>
      <x:c r="E70" s="18"/>
      <x:c r="F70" s="17"/>
      <x:c r="G70" s="18"/>
      <x:c r="H70" s="18"/>
      <x:c r="I70" s="18"/>
      <x:c r="J70" s="18"/>
      <x:c r="K70" s="18"/>
      <x:c r="L70" s="18"/>
      <x:c r="M70" s="18"/>
      <x:c r="N70" s="17"/>
      <x:c r="O70" s="18"/>
      <x:c r="P70" s="18"/>
      <x:c r="Q70" s="18"/>
      <x:c r="R70" s="16" t="str">
        <x:v>B</x:v>
      </x:c>
      <x:c r="S70" s="16" t="str">
        <x:v>https://www.maigoo.com/news/672100.html</x:v>
      </x:c>
      <x:c r="T70" s="16" t="str">
        <x:v>九江县域GDP聚合</x:v>
      </x:c>
    </x:row>
    <x:row r="71">
      <x:c r="A71" s="16" t="str">
        <x:v>九江市</x:v>
      </x:c>
      <x:c r="B71" s="16" t="str">
        <x:v>德安县</x:v>
      </x:c>
      <x:c r="C71" s="17" t="n">
        <x:v>2023</x:v>
      </x:c>
      <x:c r="D71" s="18"/>
      <x:c r="E71" s="18"/>
      <x:c r="F71" s="17"/>
      <x:c r="G71" s="18"/>
      <x:c r="H71" s="18"/>
      <x:c r="I71" s="18"/>
      <x:c r="J71" s="18"/>
      <x:c r="K71" s="18"/>
      <x:c r="L71" s="18"/>
      <x:c r="M71" s="18"/>
      <x:c r="N71" s="17"/>
      <x:c r="O71" s="18"/>
      <x:c r="P71" s="18"/>
      <x:c r="Q71" s="18"/>
      <x:c r="R71" s="16"/>
      <x:c r="S71" s="16"/>
      <x:c r="T71" s="16"/>
    </x:row>
    <x:row r="72">
      <x:c r="A72" s="16" t="str">
        <x:v>九江市</x:v>
      </x:c>
      <x:c r="B72" s="16" t="str">
        <x:v>德安县</x:v>
      </x:c>
      <x:c r="C72" s="17" t="n">
        <x:v>2024</x:v>
      </x:c>
      <x:c r="D72" s="18"/>
      <x:c r="E72" s="18"/>
      <x:c r="F72" s="17"/>
      <x:c r="G72" s="18"/>
      <x:c r="H72" s="18"/>
      <x:c r="I72" s="18"/>
      <x:c r="J72" s="18"/>
      <x:c r="K72" s="18"/>
      <x:c r="L72" s="18"/>
      <x:c r="M72" s="18"/>
      <x:c r="N72" s="17"/>
      <x:c r="O72" s="18"/>
      <x:c r="P72" s="18"/>
      <x:c r="Q72" s="18"/>
      <x:c r="R72" s="16"/>
      <x:c r="S72" s="16"/>
      <x:c r="T72" s="16"/>
    </x:row>
    <x:row r="73">
      <x:c r="A73" s="16" t="str">
        <x:v>九江市</x:v>
      </x:c>
      <x:c r="B73" s="16" t="str">
        <x:v>德安县</x:v>
      </x:c>
      <x:c r="C73" s="17" t="n">
        <x:v>2025</x:v>
      </x:c>
      <x:c r="D73" s="18"/>
      <x:c r="E73" s="18"/>
      <x:c r="F73" s="17"/>
      <x:c r="G73" s="18"/>
      <x:c r="H73" s="18"/>
      <x:c r="I73" s="18"/>
      <x:c r="J73" s="18"/>
      <x:c r="K73" s="18"/>
      <x:c r="L73" s="18"/>
      <x:c r="M73" s="18"/>
      <x:c r="N73" s="17"/>
      <x:c r="O73" s="18"/>
      <x:c r="P73" s="18"/>
      <x:c r="Q73" s="18"/>
      <x:c r="R73" s="16"/>
      <x:c r="S73" s="16"/>
      <x:c r="T73" s="16"/>
    </x:row>
    <x:row r="74">
      <x:c r="A74" s="16" t="str">
        <x:v>九江市</x:v>
      </x:c>
      <x:c r="B74" s="16" t="str">
        <x:v>都昌县</x:v>
      </x:c>
      <x:c r="C74" s="17" t="n">
        <x:v>2020</x:v>
      </x:c>
      <x:c r="D74" s="18" t="n">
        <x:v>215.79</x:v>
      </x:c>
      <x:c r="E74" s="18" t="n">
        <x:v>57.7684</x:v>
      </x:c>
      <x:c r="F74" s="17" t="n">
        <x:v>6437</x:v>
      </x:c>
      <x:c r="G74" s="18" t="n">
        <x:v>9.361</x:v>
      </x:c>
      <x:c r="H74" s="18" t="n">
        <x:v>60.3099</x:v>
      </x:c>
      <x:c r="I74" s="18"/>
      <x:c r="J74" s="18" t="n">
        <x:v>207.06</x:v>
      </x:c>
      <x:c r="K74" s="18"/>
      <x:c r="L74" s="18"/>
      <x:c r="M74" s="18" t="n">
        <x:v>220.2</x:v>
      </x:c>
      <x:c r="N74" s="17" t="n">
        <x:v>4938</x:v>
      </x:c>
      <x:c r="O74" s="18"/>
      <x:c r="P74" s="18"/>
      <x:c r="Q74" s="18"/>
      <x:c r="R74" s="16" t="str">
        <x:v>A</x:v>
      </x:c>
      <x:c r="S74" s="16" t="str">
        <x:v>https://www.gcs66.com/document_detail/171450</x:v>
      </x:c>
      <x:c r="T74" s="16" t="str">
        <x:v>2020统计公报；规上工业主营业务收入</x:v>
      </x:c>
    </x:row>
    <x:row r="75">
      <x:c r="A75" s="16" t="str">
        <x:v>九江市</x:v>
      </x:c>
      <x:c r="B75" s="16" t="str">
        <x:v>都昌县</x:v>
      </x:c>
      <x:c r="C75" s="17" t="n">
        <x:v>2021</x:v>
      </x:c>
      <x:c r="D75" s="18"/>
      <x:c r="E75" s="18"/>
      <x:c r="F75" s="17"/>
      <x:c r="G75" s="18"/>
      <x:c r="H75" s="18"/>
      <x:c r="I75" s="18"/>
      <x:c r="J75" s="18"/>
      <x:c r="K75" s="18"/>
      <x:c r="L75" s="18"/>
      <x:c r="M75" s="18"/>
      <x:c r="N75" s="17"/>
      <x:c r="O75" s="18"/>
      <x:c r="P75" s="18"/>
      <x:c r="Q75" s="18"/>
      <x:c r="R75" s="16"/>
      <x:c r="S75" s="16"/>
      <x:c r="T75" s="16"/>
    </x:row>
    <x:row r="76">
      <x:c r="A76" s="16" t="str">
        <x:v>九江市</x:v>
      </x:c>
      <x:c r="B76" s="16" t="str">
        <x:v>都昌县</x:v>
      </x:c>
      <x:c r="C76" s="17" t="n">
        <x:v>2022</x:v>
      </x:c>
      <x:c r="D76" s="18" t="n">
        <x:v>259.67</x:v>
      </x:c>
      <x:c r="E76" s="18"/>
      <x:c r="F76" s="17"/>
      <x:c r="G76" s="18"/>
      <x:c r="H76" s="18"/>
      <x:c r="I76" s="18"/>
      <x:c r="J76" s="18"/>
      <x:c r="K76" s="18"/>
      <x:c r="L76" s="18"/>
      <x:c r="M76" s="18"/>
      <x:c r="N76" s="17"/>
      <x:c r="O76" s="18"/>
      <x:c r="P76" s="18"/>
      <x:c r="Q76" s="18"/>
      <x:c r="R76" s="16" t="str">
        <x:v>B</x:v>
      </x:c>
      <x:c r="S76" s="16" t="str">
        <x:v>https://www.maigoo.com/news/672100.html</x:v>
      </x:c>
      <x:c r="T76" s="16" t="str">
        <x:v>九江县域GDP聚合</x:v>
      </x:c>
    </x:row>
    <x:row r="77">
      <x:c r="A77" s="16" t="str">
        <x:v>九江市</x:v>
      </x:c>
      <x:c r="B77" s="16" t="str">
        <x:v>都昌县</x:v>
      </x:c>
      <x:c r="C77" s="17" t="n">
        <x:v>2023</x:v>
      </x:c>
      <x:c r="D77" s="18"/>
      <x:c r="E77" s="18"/>
      <x:c r="F77" s="17"/>
      <x:c r="G77" s="18"/>
      <x:c r="H77" s="18"/>
      <x:c r="I77" s="18"/>
      <x:c r="J77" s="18"/>
      <x:c r="K77" s="18"/>
      <x:c r="L77" s="18"/>
      <x:c r="M77" s="18"/>
      <x:c r="N77" s="17"/>
      <x:c r="O77" s="18"/>
      <x:c r="P77" s="18"/>
      <x:c r="Q77" s="18"/>
      <x:c r="R77" s="16"/>
      <x:c r="S77" s="16"/>
      <x:c r="T77" s="16"/>
    </x:row>
    <x:row r="78">
      <x:c r="A78" s="16" t="str">
        <x:v>九江市</x:v>
      </x:c>
      <x:c r="B78" s="16" t="str">
        <x:v>都昌县</x:v>
      </x:c>
      <x:c r="C78" s="17" t="n">
        <x:v>2024</x:v>
      </x:c>
      <x:c r="D78" s="18"/>
      <x:c r="E78" s="18"/>
      <x:c r="F78" s="17"/>
      <x:c r="G78" s="18"/>
      <x:c r="H78" s="18"/>
      <x:c r="I78" s="18"/>
      <x:c r="J78" s="18"/>
      <x:c r="K78" s="18"/>
      <x:c r="L78" s="18"/>
      <x:c r="M78" s="18"/>
      <x:c r="N78" s="17"/>
      <x:c r="O78" s="18"/>
      <x:c r="P78" s="18"/>
      <x:c r="Q78" s="18"/>
      <x:c r="R78" s="16"/>
      <x:c r="S78" s="16"/>
      <x:c r="T78" s="16"/>
    </x:row>
    <x:row r="79">
      <x:c r="A79" s="16" t="str">
        <x:v>九江市</x:v>
      </x:c>
      <x:c r="B79" s="16" t="str">
        <x:v>都昌县</x:v>
      </x:c>
      <x:c r="C79" s="17" t="n">
        <x:v>2025</x:v>
      </x:c>
      <x:c r="D79" s="18"/>
      <x:c r="E79" s="18"/>
      <x:c r="F79" s="17"/>
      <x:c r="G79" s="18"/>
      <x:c r="H79" s="18"/>
      <x:c r="I79" s="18"/>
      <x:c r="J79" s="18"/>
      <x:c r="K79" s="18"/>
      <x:c r="L79" s="18"/>
      <x:c r="M79" s="18"/>
      <x:c r="N79" s="17"/>
      <x:c r="O79" s="18"/>
      <x:c r="P79" s="18"/>
      <x:c r="Q79" s="18"/>
      <x:c r="R79" s="16"/>
      <x:c r="S79" s="16"/>
      <x:c r="T79" s="16"/>
    </x:row>
    <x:row r="80">
      <x:c r="A80" s="16" t="str">
        <x:v>九江市</x:v>
      </x:c>
      <x:c r="B80" s="16" t="str">
        <x:v>湖口县</x:v>
      </x:c>
      <x:c r="C80" s="17" t="n">
        <x:v>2020</x:v>
      </x:c>
      <x:c r="D80" s="18"/>
      <x:c r="E80" s="18"/>
      <x:c r="F80" s="17"/>
      <x:c r="G80" s="18"/>
      <x:c r="H80" s="18"/>
      <x:c r="I80" s="18"/>
      <x:c r="J80" s="18"/>
      <x:c r="K80" s="18"/>
      <x:c r="L80" s="18"/>
      <x:c r="M80" s="18"/>
      <x:c r="N80" s="17"/>
      <x:c r="O80" s="18"/>
      <x:c r="P80" s="18"/>
      <x:c r="Q80" s="18"/>
      <x:c r="R80" s="16"/>
      <x:c r="S80" s="16"/>
      <x:c r="T80" s="16"/>
    </x:row>
    <x:row r="81">
      <x:c r="A81" s="16" t="str">
        <x:v>九江市</x:v>
      </x:c>
      <x:c r="B81" s="16" t="str">
        <x:v>湖口县</x:v>
      </x:c>
      <x:c r="C81" s="17" t="n">
        <x:v>2021</x:v>
      </x:c>
      <x:c r="D81" s="18" t="n">
        <x:v>283.1</x:v>
      </x:c>
      <x:c r="E81" s="18"/>
      <x:c r="F81" s="17"/>
      <x:c r="G81" s="18"/>
      <x:c r="H81" s="18"/>
      <x:c r="I81" s="18"/>
      <x:c r="J81" s="18"/>
      <x:c r="K81" s="18"/>
      <x:c r="L81" s="18"/>
      <x:c r="M81" s="18"/>
      <x:c r="N81" s="17"/>
      <x:c r="O81" s="18"/>
      <x:c r="P81" s="18"/>
      <x:c r="Q81" s="18"/>
      <x:c r="R81" s="16" t="str">
        <x:v>B</x:v>
      </x:c>
      <x:c r="S81" s="16" t="str">
        <x:v>https://www.maigoo.com/news/632974.html</x:v>
      </x:c>
      <x:c r="T81" s="16" t="str">
        <x:v>GDP排行聚合，来源各地统计公报</x:v>
      </x:c>
    </x:row>
    <x:row r="82">
      <x:c r="A82" s="16" t="str">
        <x:v>九江市</x:v>
      </x:c>
      <x:c r="B82" s="16" t="str">
        <x:v>湖口县</x:v>
      </x:c>
      <x:c r="C82" s="17" t="n">
        <x:v>2022</x:v>
      </x:c>
      <x:c r="D82" s="18" t="n">
        <x:v>309.99</x:v>
      </x:c>
      <x:c r="E82" s="18"/>
      <x:c r="F82" s="17"/>
      <x:c r="G82" s="18"/>
      <x:c r="H82" s="18"/>
      <x:c r="I82" s="18"/>
      <x:c r="J82" s="18"/>
      <x:c r="K82" s="18"/>
      <x:c r="L82" s="18"/>
      <x:c r="M82" s="18"/>
      <x:c r="N82" s="17"/>
      <x:c r="O82" s="18"/>
      <x:c r="P82" s="18"/>
      <x:c r="Q82" s="18"/>
      <x:c r="R82" s="16" t="str">
        <x:v>B</x:v>
      </x:c>
      <x:c r="S82" s="16" t="str">
        <x:v>https://www.maigoo.com/news/672100.html</x:v>
      </x:c>
      <x:c r="T82" s="16" t="str">
        <x:v>九江县域GDP聚合</x:v>
      </x:c>
    </x:row>
    <x:row r="83">
      <x:c r="A83" s="16" t="str">
        <x:v>九江市</x:v>
      </x:c>
      <x:c r="B83" s="16" t="str">
        <x:v>湖口县</x:v>
      </x:c>
      <x:c r="C83" s="17" t="n">
        <x:v>2023</x:v>
      </x:c>
      <x:c r="D83" s="18"/>
      <x:c r="E83" s="18"/>
      <x:c r="F83" s="17"/>
      <x:c r="G83" s="18"/>
      <x:c r="H83" s="18"/>
      <x:c r="I83" s="18"/>
      <x:c r="J83" s="18"/>
      <x:c r="K83" s="18"/>
      <x:c r="L83" s="18"/>
      <x:c r="M83" s="18"/>
      <x:c r="N83" s="17"/>
      <x:c r="O83" s="18"/>
      <x:c r="P83" s="18"/>
      <x:c r="Q83" s="18"/>
      <x:c r="R83" s="16"/>
      <x:c r="S83" s="16"/>
      <x:c r="T83" s="16"/>
    </x:row>
    <x:row r="84">
      <x:c r="A84" s="16" t="str">
        <x:v>九江市</x:v>
      </x:c>
      <x:c r="B84" s="16" t="str">
        <x:v>湖口县</x:v>
      </x:c>
      <x:c r="C84" s="17" t="n">
        <x:v>2024</x:v>
      </x:c>
      <x:c r="D84" s="18"/>
      <x:c r="E84" s="18"/>
      <x:c r="F84" s="17"/>
      <x:c r="G84" s="18"/>
      <x:c r="H84" s="18"/>
      <x:c r="I84" s="18"/>
      <x:c r="J84" s="18"/>
      <x:c r="K84" s="18"/>
      <x:c r="L84" s="18"/>
      <x:c r="M84" s="18"/>
      <x:c r="N84" s="17"/>
      <x:c r="O84" s="18"/>
      <x:c r="P84" s="18"/>
      <x:c r="Q84" s="18"/>
      <x:c r="R84" s="16"/>
      <x:c r="S84" s="16"/>
      <x:c r="T84" s="16"/>
    </x:row>
    <x:row r="85">
      <x:c r="A85" s="16" t="str">
        <x:v>九江市</x:v>
      </x:c>
      <x:c r="B85" s="16" t="str">
        <x:v>湖口县</x:v>
      </x:c>
      <x:c r="C85" s="17" t="n">
        <x:v>2025</x:v>
      </x:c>
      <x:c r="D85" s="18"/>
      <x:c r="E85" s="18"/>
      <x:c r="F85" s="17"/>
      <x:c r="G85" s="18"/>
      <x:c r="H85" s="18"/>
      <x:c r="I85" s="18"/>
      <x:c r="J85" s="18"/>
      <x:c r="K85" s="18"/>
      <x:c r="L85" s="18"/>
      <x:c r="M85" s="18"/>
      <x:c r="N85" s="17"/>
      <x:c r="O85" s="18"/>
      <x:c r="P85" s="18"/>
      <x:c r="Q85" s="18"/>
      <x:c r="R85" s="16"/>
      <x:c r="S85" s="16"/>
      <x:c r="T85" s="16"/>
    </x:row>
    <x:row r="86">
      <x:c r="A86" s="16" t="str">
        <x:v>九江市</x:v>
      </x:c>
      <x:c r="B86" s="16" t="str">
        <x:v>彭泽县</x:v>
      </x:c>
      <x:c r="C86" s="17" t="n">
        <x:v>2020</x:v>
      </x:c>
      <x:c r="D86" s="18"/>
      <x:c r="E86" s="18"/>
      <x:c r="F86" s="17"/>
      <x:c r="G86" s="18"/>
      <x:c r="H86" s="18"/>
      <x:c r="I86" s="18"/>
      <x:c r="J86" s="18"/>
      <x:c r="K86" s="18"/>
      <x:c r="L86" s="18"/>
      <x:c r="M86" s="18"/>
      <x:c r="N86" s="17"/>
      <x:c r="O86" s="18"/>
      <x:c r="P86" s="18"/>
      <x:c r="Q86" s="18"/>
      <x:c r="R86" s="16"/>
      <x:c r="S86" s="16"/>
      <x:c r="T86" s="16"/>
    </x:row>
    <x:row r="87">
      <x:c r="A87" s="16" t="str">
        <x:v>九江市</x:v>
      </x:c>
      <x:c r="B87" s="16" t="str">
        <x:v>彭泽县</x:v>
      </x:c>
      <x:c r="C87" s="17" t="n">
        <x:v>2021</x:v>
      </x:c>
      <x:c r="D87" s="18"/>
      <x:c r="E87" s="18"/>
      <x:c r="F87" s="17"/>
      <x:c r="G87" s="18"/>
      <x:c r="H87" s="18"/>
      <x:c r="I87" s="18"/>
      <x:c r="J87" s="18"/>
      <x:c r="K87" s="18"/>
      <x:c r="L87" s="18"/>
      <x:c r="M87" s="18"/>
      <x:c r="N87" s="17"/>
      <x:c r="O87" s="18"/>
      <x:c r="P87" s="18"/>
      <x:c r="Q87" s="18"/>
      <x:c r="R87" s="16"/>
      <x:c r="S87" s="16"/>
      <x:c r="T87" s="16"/>
    </x:row>
    <x:row r="88">
      <x:c r="A88" s="16" t="str">
        <x:v>九江市</x:v>
      </x:c>
      <x:c r="B88" s="16" t="str">
        <x:v>彭泽县</x:v>
      </x:c>
      <x:c r="C88" s="17" t="n">
        <x:v>2022</x:v>
      </x:c>
      <x:c r="D88" s="18" t="n">
        <x:v>215.35</x:v>
      </x:c>
      <x:c r="E88" s="18"/>
      <x:c r="F88" s="17"/>
      <x:c r="G88" s="18"/>
      <x:c r="H88" s="18"/>
      <x:c r="I88" s="18"/>
      <x:c r="J88" s="18"/>
      <x:c r="K88" s="18"/>
      <x:c r="L88" s="18"/>
      <x:c r="M88" s="18"/>
      <x:c r="N88" s="17"/>
      <x:c r="O88" s="18"/>
      <x:c r="P88" s="18"/>
      <x:c r="Q88" s="18"/>
      <x:c r="R88" s="16" t="str">
        <x:v>B</x:v>
      </x:c>
      <x:c r="S88" s="16" t="str">
        <x:v>https://www.maigoo.com/news/672100.html</x:v>
      </x:c>
      <x:c r="T88" s="16" t="str">
        <x:v>九江县域GDP聚合</x:v>
      </x:c>
    </x:row>
    <x:row r="89">
      <x:c r="A89" s="16" t="str">
        <x:v>九江市</x:v>
      </x:c>
      <x:c r="B89" s="16" t="str">
        <x:v>彭泽县</x:v>
      </x:c>
      <x:c r="C89" s="17" t="n">
        <x:v>2023</x:v>
      </x:c>
      <x:c r="D89" s="18"/>
      <x:c r="E89" s="18"/>
      <x:c r="F89" s="17"/>
      <x:c r="G89" s="18"/>
      <x:c r="H89" s="18"/>
      <x:c r="I89" s="18"/>
      <x:c r="J89" s="18"/>
      <x:c r="K89" s="18"/>
      <x:c r="L89" s="18"/>
      <x:c r="M89" s="18"/>
      <x:c r="N89" s="17"/>
      <x:c r="O89" s="18"/>
      <x:c r="P89" s="18"/>
      <x:c r="Q89" s="18"/>
      <x:c r="R89" s="16"/>
      <x:c r="S89" s="16"/>
      <x:c r="T89" s="16"/>
    </x:row>
    <x:row r="90">
      <x:c r="A90" s="16" t="str">
        <x:v>九江市</x:v>
      </x:c>
      <x:c r="B90" s="16" t="str">
        <x:v>彭泽县</x:v>
      </x:c>
      <x:c r="C90" s="17" t="n">
        <x:v>2024</x:v>
      </x:c>
      <x:c r="D90" s="18"/>
      <x:c r="E90" s="18"/>
      <x:c r="F90" s="17"/>
      <x:c r="G90" s="18"/>
      <x:c r="H90" s="18"/>
      <x:c r="I90" s="18"/>
      <x:c r="J90" s="18"/>
      <x:c r="K90" s="18"/>
      <x:c r="L90" s="18"/>
      <x:c r="M90" s="18"/>
      <x:c r="N90" s="17"/>
      <x:c r="O90" s="18"/>
      <x:c r="P90" s="18"/>
      <x:c r="Q90" s="18"/>
      <x:c r="R90" s="16"/>
      <x:c r="S90" s="16"/>
      <x:c r="T90" s="16"/>
    </x:row>
    <x:row r="91">
      <x:c r="A91" s="16" t="str">
        <x:v>九江市</x:v>
      </x:c>
      <x:c r="B91" s="16" t="str">
        <x:v>彭泽县</x:v>
      </x:c>
      <x:c r="C91" s="17" t="n">
        <x:v>2025</x:v>
      </x:c>
      <x:c r="D91" s="18"/>
      <x:c r="E91" s="18"/>
      <x:c r="F91" s="17"/>
      <x:c r="G91" s="18"/>
      <x:c r="H91" s="18"/>
      <x:c r="I91" s="18"/>
      <x:c r="J91" s="18"/>
      <x:c r="K91" s="18"/>
      <x:c r="L91" s="18"/>
      <x:c r="M91" s="18"/>
      <x:c r="N91" s="17"/>
      <x:c r="O91" s="18"/>
      <x:c r="P91" s="18"/>
      <x:c r="Q91" s="18"/>
      <x:c r="R91" s="16"/>
      <x:c r="S91" s="16"/>
      <x:c r="T91" s="16"/>
    </x:row>
    <x:row r="92">
      <x:c r="A92" s="16" t="str">
        <x:v>九江市</x:v>
      </x:c>
      <x:c r="B92" s="16" t="str">
        <x:v>瑞昌市</x:v>
      </x:c>
      <x:c r="C92" s="17" t="n">
        <x:v>2020</x:v>
      </x:c>
      <x:c r="D92" s="18" t="n">
        <x:v>267.2</x:v>
      </x:c>
      <x:c r="E92" s="18"/>
      <x:c r="F92" s="17"/>
      <x:c r="G92" s="18"/>
      <x:c r="H92" s="18"/>
      <x:c r="I92" s="18"/>
      <x:c r="J92" s="18"/>
      <x:c r="K92" s="18"/>
      <x:c r="L92" s="18"/>
      <x:c r="M92" s="18"/>
      <x:c r="N92" s="17"/>
      <x:c r="O92" s="18"/>
      <x:c r="P92" s="18"/>
      <x:c r="Q92" s="18"/>
      <x:c r="R92" s="16" t="str">
        <x:v>B</x:v>
      </x:c>
      <x:c r="S92" s="16" t="str">
        <x:v>https://www.maigoo.com/news/608920.html</x:v>
      </x:c>
      <x:c r="T92" s="16" t="str">
        <x:v>GDP排行聚合，来源各地统计公报</x:v>
      </x:c>
    </x:row>
    <x:row r="93">
      <x:c r="A93" s="16" t="str">
        <x:v>九江市</x:v>
      </x:c>
      <x:c r="B93" s="16" t="str">
        <x:v>瑞昌市</x:v>
      </x:c>
      <x:c r="C93" s="17" t="n">
        <x:v>2021</x:v>
      </x:c>
      <x:c r="D93" s="18" t="n">
        <x:v>308.51</x:v>
      </x:c>
      <x:c r="E93" s="18"/>
      <x:c r="F93" s="17"/>
      <x:c r="G93" s="18"/>
      <x:c r="H93" s="18"/>
      <x:c r="I93" s="18"/>
      <x:c r="J93" s="18"/>
      <x:c r="K93" s="18"/>
      <x:c r="L93" s="18"/>
      <x:c r="M93" s="18"/>
      <x:c r="N93" s="17"/>
      <x:c r="O93" s="18"/>
      <x:c r="P93" s="18"/>
      <x:c r="Q93" s="18"/>
      <x:c r="R93" s="16" t="str">
        <x:v>B</x:v>
      </x:c>
      <x:c r="S93" s="16" t="str">
        <x:v>https://www.maigoo.com/news/632974.html</x:v>
      </x:c>
      <x:c r="T93" s="16" t="str">
        <x:v>GDP排行聚合，来源各地统计公报</x:v>
      </x:c>
    </x:row>
    <x:row r="94">
      <x:c r="A94" s="16" t="str">
        <x:v>九江市</x:v>
      </x:c>
      <x:c r="B94" s="16" t="str">
        <x:v>瑞昌市</x:v>
      </x:c>
      <x:c r="C94" s="17" t="n">
        <x:v>2022</x:v>
      </x:c>
      <x:c r="D94" s="18" t="n">
        <x:v>334.28</x:v>
      </x:c>
      <x:c r="E94" s="18"/>
      <x:c r="F94" s="17"/>
      <x:c r="G94" s="18"/>
      <x:c r="H94" s="18"/>
      <x:c r="I94" s="18"/>
      <x:c r="J94" s="18"/>
      <x:c r="K94" s="18"/>
      <x:c r="L94" s="18"/>
      <x:c r="M94" s="18"/>
      <x:c r="N94" s="17"/>
      <x:c r="O94" s="18"/>
      <x:c r="P94" s="18"/>
      <x:c r="Q94" s="18"/>
      <x:c r="R94" s="16" t="str">
        <x:v>B</x:v>
      </x:c>
      <x:c r="S94" s="16" t="str">
        <x:v>https://www.maigoo.com/news/672100.html</x:v>
      </x:c>
      <x:c r="T94" s="16" t="str">
        <x:v>九江县域GDP聚合</x:v>
      </x:c>
    </x:row>
    <x:row r="95">
      <x:c r="A95" s="16" t="str">
        <x:v>九江市</x:v>
      </x:c>
      <x:c r="B95" s="16" t="str">
        <x:v>瑞昌市</x:v>
      </x:c>
      <x:c r="C95" s="17" t="n">
        <x:v>2023</x:v>
      </x:c>
      <x:c r="D95" s="18"/>
      <x:c r="E95" s="18"/>
      <x:c r="F95" s="17"/>
      <x:c r="G95" s="18"/>
      <x:c r="H95" s="18"/>
      <x:c r="I95" s="18"/>
      <x:c r="J95" s="18"/>
      <x:c r="K95" s="18"/>
      <x:c r="L95" s="18"/>
      <x:c r="M95" s="18"/>
      <x:c r="N95" s="17"/>
      <x:c r="O95" s="18"/>
      <x:c r="P95" s="18"/>
      <x:c r="Q95" s="18"/>
      <x:c r="R95" s="16"/>
      <x:c r="S95" s="16"/>
      <x:c r="T95" s="16"/>
    </x:row>
    <x:row r="96">
      <x:c r="A96" s="16" t="str">
        <x:v>九江市</x:v>
      </x:c>
      <x:c r="B96" s="16" t="str">
        <x:v>瑞昌市</x:v>
      </x:c>
      <x:c r="C96" s="17" t="n">
        <x:v>2024</x:v>
      </x:c>
      <x:c r="D96" s="18"/>
      <x:c r="E96" s="18"/>
      <x:c r="F96" s="17"/>
      <x:c r="G96" s="18"/>
      <x:c r="H96" s="18"/>
      <x:c r="I96" s="18"/>
      <x:c r="J96" s="18"/>
      <x:c r="K96" s="18"/>
      <x:c r="L96" s="18"/>
      <x:c r="M96" s="18"/>
      <x:c r="N96" s="17"/>
      <x:c r="O96" s="18"/>
      <x:c r="P96" s="18"/>
      <x:c r="Q96" s="18"/>
      <x:c r="R96" s="16"/>
      <x:c r="S96" s="16"/>
      <x:c r="T96" s="16"/>
    </x:row>
    <x:row r="97">
      <x:c r="A97" s="16" t="str">
        <x:v>九江市</x:v>
      </x:c>
      <x:c r="B97" s="16" t="str">
        <x:v>瑞昌市</x:v>
      </x:c>
      <x:c r="C97" s="17" t="n">
        <x:v>2025</x:v>
      </x:c>
      <x:c r="D97" s="18"/>
      <x:c r="E97" s="18"/>
      <x:c r="F97" s="17"/>
      <x:c r="G97" s="18"/>
      <x:c r="H97" s="18"/>
      <x:c r="I97" s="18"/>
      <x:c r="J97" s="18"/>
      <x:c r="K97" s="18"/>
      <x:c r="L97" s="18"/>
      <x:c r="M97" s="18"/>
      <x:c r="N97" s="17"/>
      <x:c r="O97" s="18"/>
      <x:c r="P97" s="18"/>
      <x:c r="Q97" s="18"/>
      <x:c r="R97" s="16"/>
      <x:c r="S97" s="16"/>
      <x:c r="T97" s="16"/>
    </x:row>
    <x:row r="98">
      <x:c r="A98" s="16" t="str">
        <x:v>九江市</x:v>
      </x:c>
      <x:c r="B98" s="16" t="str">
        <x:v>共青城市</x:v>
      </x:c>
      <x:c r="C98" s="17" t="n">
        <x:v>2020</x:v>
      </x:c>
      <x:c r="D98" s="18"/>
      <x:c r="E98" s="18"/>
      <x:c r="F98" s="17"/>
      <x:c r="G98" s="18"/>
      <x:c r="H98" s="18"/>
      <x:c r="I98" s="18"/>
      <x:c r="J98" s="18"/>
      <x:c r="K98" s="18"/>
      <x:c r="L98" s="18"/>
      <x:c r="M98" s="18"/>
      <x:c r="N98" s="17"/>
      <x:c r="O98" s="18"/>
      <x:c r="P98" s="18"/>
      <x:c r="Q98" s="18"/>
      <x:c r="R98" s="16"/>
      <x:c r="S98" s="16"/>
      <x:c r="T98" s="16"/>
    </x:row>
    <x:row r="99">
      <x:c r="A99" s="16" t="str">
        <x:v>九江市</x:v>
      </x:c>
      <x:c r="B99" s="16" t="str">
        <x:v>共青城市</x:v>
      </x:c>
      <x:c r="C99" s="17" t="n">
        <x:v>2021</x:v>
      </x:c>
      <x:c r="D99" s="18"/>
      <x:c r="E99" s="18"/>
      <x:c r="F99" s="17"/>
      <x:c r="G99" s="18"/>
      <x:c r="H99" s="18"/>
      <x:c r="I99" s="18"/>
      <x:c r="J99" s="18"/>
      <x:c r="K99" s="18"/>
      <x:c r="L99" s="18"/>
      <x:c r="M99" s="18"/>
      <x:c r="N99" s="17"/>
      <x:c r="O99" s="18"/>
      <x:c r="P99" s="18"/>
      <x:c r="Q99" s="18"/>
      <x:c r="R99" s="16"/>
      <x:c r="S99" s="16"/>
      <x:c r="T99" s="16"/>
    </x:row>
    <x:row r="100">
      <x:c r="A100" s="16" t="str">
        <x:v>九江市</x:v>
      </x:c>
      <x:c r="B100" s="16" t="str">
        <x:v>共青城市</x:v>
      </x:c>
      <x:c r="C100" s="17" t="n">
        <x:v>2022</x:v>
      </x:c>
      <x:c r="D100" s="18" t="n">
        <x:v>217.85</x:v>
      </x:c>
      <x:c r="E100" s="18"/>
      <x:c r="F100" s="17"/>
      <x:c r="G100" s="18"/>
      <x:c r="H100" s="18"/>
      <x:c r="I100" s="18"/>
      <x:c r="J100" s="18"/>
      <x:c r="K100" s="18"/>
      <x:c r="L100" s="18"/>
      <x:c r="M100" s="18"/>
      <x:c r="N100" s="17"/>
      <x:c r="O100" s="18"/>
      <x:c r="P100" s="18"/>
      <x:c r="Q100" s="18"/>
      <x:c r="R100" s="16" t="str">
        <x:v>B</x:v>
      </x:c>
      <x:c r="S100" s="16" t="str">
        <x:v>https://www.maigoo.com/news/672100.html</x:v>
      </x:c>
      <x:c r="T100" s="16" t="str">
        <x:v>九江县域GDP聚合</x:v>
      </x:c>
    </x:row>
    <x:row r="101">
      <x:c r="A101" s="16" t="str">
        <x:v>九江市</x:v>
      </x:c>
      <x:c r="B101" s="16" t="str">
        <x:v>共青城市</x:v>
      </x:c>
      <x:c r="C101" s="17" t="n">
        <x:v>2023</x:v>
      </x:c>
      <x:c r="D101" s="18"/>
      <x:c r="E101" s="18"/>
      <x:c r="F101" s="17"/>
      <x:c r="G101" s="18"/>
      <x:c r="H101" s="18"/>
      <x:c r="I101" s="18"/>
      <x:c r="J101" s="18"/>
      <x:c r="K101" s="18"/>
      <x:c r="L101" s="18"/>
      <x:c r="M101" s="18"/>
      <x:c r="N101" s="17"/>
      <x:c r="O101" s="18"/>
      <x:c r="P101" s="18"/>
      <x:c r="Q101" s="18"/>
      <x:c r="R101" s="16"/>
      <x:c r="S101" s="16"/>
      <x:c r="T101" s="16"/>
    </x:row>
    <x:row r="102">
      <x:c r="A102" s="16" t="str">
        <x:v>九江市</x:v>
      </x:c>
      <x:c r="B102" s="16" t="str">
        <x:v>共青城市</x:v>
      </x:c>
      <x:c r="C102" s="17" t="n">
        <x:v>2024</x:v>
      </x:c>
      <x:c r="D102" s="18"/>
      <x:c r="E102" s="18"/>
      <x:c r="F102" s="17"/>
      <x:c r="G102" s="18"/>
      <x:c r="H102" s="18"/>
      <x:c r="I102" s="18"/>
      <x:c r="J102" s="18"/>
      <x:c r="K102" s="18"/>
      <x:c r="L102" s="18"/>
      <x:c r="M102" s="18"/>
      <x:c r="N102" s="17"/>
      <x:c r="O102" s="18"/>
      <x:c r="P102" s="18"/>
      <x:c r="Q102" s="18"/>
      <x:c r="R102" s="16"/>
      <x:c r="S102" s="16"/>
      <x:c r="T102" s="16"/>
    </x:row>
    <x:row r="103">
      <x:c r="A103" s="16" t="str">
        <x:v>九江市</x:v>
      </x:c>
      <x:c r="B103" s="16" t="str">
        <x:v>共青城市</x:v>
      </x:c>
      <x:c r="C103" s="17" t="n">
        <x:v>2025</x:v>
      </x:c>
      <x:c r="D103" s="18"/>
      <x:c r="E103" s="18"/>
      <x:c r="F103" s="17"/>
      <x:c r="G103" s="18"/>
      <x:c r="H103" s="18"/>
      <x:c r="I103" s="18"/>
      <x:c r="J103" s="18"/>
      <x:c r="K103" s="18"/>
      <x:c r="L103" s="18"/>
      <x:c r="M103" s="18"/>
      <x:c r="N103" s="17"/>
      <x:c r="O103" s="18"/>
      <x:c r="P103" s="18"/>
      <x:c r="Q103" s="18"/>
      <x:c r="R103" s="16"/>
      <x:c r="S103" s="16"/>
      <x:c r="T103" s="16"/>
    </x:row>
    <x:row r="104">
      <x:c r="A104" s="16" t="str">
        <x:v>九江市</x:v>
      </x:c>
      <x:c r="B104" s="16" t="str">
        <x:v>庐山市</x:v>
      </x:c>
      <x:c r="C104" s="17" t="n">
        <x:v>2020</x:v>
      </x:c>
      <x:c r="D104" s="18"/>
      <x:c r="E104" s="18"/>
      <x:c r="F104" s="17"/>
      <x:c r="G104" s="18"/>
      <x:c r="H104" s="18"/>
      <x:c r="I104" s="18"/>
      <x:c r="J104" s="18"/>
      <x:c r="K104" s="18"/>
      <x:c r="L104" s="18"/>
      <x:c r="M104" s="18"/>
      <x:c r="N104" s="17"/>
      <x:c r="O104" s="18"/>
      <x:c r="P104" s="18"/>
      <x:c r="Q104" s="18"/>
      <x:c r="R104" s="16"/>
      <x:c r="S104" s="16"/>
      <x:c r="T104" s="16"/>
    </x:row>
    <x:row r="105">
      <x:c r="A105" s="16" t="str">
        <x:v>九江市</x:v>
      </x:c>
      <x:c r="B105" s="16" t="str">
        <x:v>庐山市</x:v>
      </x:c>
      <x:c r="C105" s="17" t="n">
        <x:v>2021</x:v>
      </x:c>
      <x:c r="D105" s="18"/>
      <x:c r="E105" s="18"/>
      <x:c r="F105" s="17"/>
      <x:c r="G105" s="18"/>
      <x:c r="H105" s="18"/>
      <x:c r="I105" s="18"/>
      <x:c r="J105" s="18"/>
      <x:c r="K105" s="18"/>
      <x:c r="L105" s="18"/>
      <x:c r="M105" s="18"/>
      <x:c r="N105" s="17"/>
      <x:c r="O105" s="18"/>
      <x:c r="P105" s="18"/>
      <x:c r="Q105" s="18"/>
      <x:c r="R105" s="16"/>
      <x:c r="S105" s="16"/>
      <x:c r="T105" s="16"/>
    </x:row>
    <x:row r="106">
      <x:c r="A106" s="16" t="str">
        <x:v>九江市</x:v>
      </x:c>
      <x:c r="B106" s="16" t="str">
        <x:v>庐山市</x:v>
      </x:c>
      <x:c r="C106" s="17" t="n">
        <x:v>2022</x:v>
      </x:c>
      <x:c r="D106" s="18" t="n">
        <x:v>177.19</x:v>
      </x:c>
      <x:c r="E106" s="18"/>
      <x:c r="F106" s="17"/>
      <x:c r="G106" s="18"/>
      <x:c r="H106" s="18"/>
      <x:c r="I106" s="18"/>
      <x:c r="J106" s="18"/>
      <x:c r="K106" s="18"/>
      <x:c r="L106" s="18"/>
      <x:c r="M106" s="18"/>
      <x:c r="N106" s="17"/>
      <x:c r="O106" s="18"/>
      <x:c r="P106" s="18"/>
      <x:c r="Q106" s="18"/>
      <x:c r="R106" s="16" t="str">
        <x:v>B</x:v>
      </x:c>
      <x:c r="S106" s="16" t="str">
        <x:v>https://www.maigoo.com/news/672100.html</x:v>
      </x:c>
      <x:c r="T106" s="16" t="str">
        <x:v>九江县域GDP聚合</x:v>
      </x:c>
    </x:row>
    <x:row r="107">
      <x:c r="A107" s="16" t="str">
        <x:v>九江市</x:v>
      </x:c>
      <x:c r="B107" s="16" t="str">
        <x:v>庐山市</x:v>
      </x:c>
      <x:c r="C107" s="17" t="n">
        <x:v>2023</x:v>
      </x:c>
      <x:c r="D107" s="18"/>
      <x:c r="E107" s="18"/>
      <x:c r="F107" s="17"/>
      <x:c r="G107" s="18"/>
      <x:c r="H107" s="18"/>
      <x:c r="I107" s="18"/>
      <x:c r="J107" s="18"/>
      <x:c r="K107" s="18"/>
      <x:c r="L107" s="18"/>
      <x:c r="M107" s="18"/>
      <x:c r="N107" s="17"/>
      <x:c r="O107" s="18"/>
      <x:c r="P107" s="18"/>
      <x:c r="Q107" s="18"/>
      <x:c r="R107" s="16"/>
      <x:c r="S107" s="16"/>
      <x:c r="T107" s="16"/>
    </x:row>
    <x:row r="108">
      <x:c r="A108" s="16" t="str">
        <x:v>九江市</x:v>
      </x:c>
      <x:c r="B108" s="16" t="str">
        <x:v>庐山市</x:v>
      </x:c>
      <x:c r="C108" s="17" t="n">
        <x:v>2024</x:v>
      </x:c>
      <x:c r="D108" s="18"/>
      <x:c r="E108" s="18"/>
      <x:c r="F108" s="17"/>
      <x:c r="G108" s="18"/>
      <x:c r="H108" s="18"/>
      <x:c r="I108" s="18"/>
      <x:c r="J108" s="18"/>
      <x:c r="K108" s="18"/>
      <x:c r="L108" s="18"/>
      <x:c r="M108" s="18"/>
      <x:c r="N108" s="17"/>
      <x:c r="O108" s="18"/>
      <x:c r="P108" s="18"/>
      <x:c r="Q108" s="18"/>
      <x:c r="R108" s="16"/>
      <x:c r="S108" s="16"/>
      <x:c r="T108" s="16"/>
    </x:row>
    <x:row r="109">
      <x:c r="A109" s="16" t="str">
        <x:v>九江市</x:v>
      </x:c>
      <x:c r="B109" s="16" t="str">
        <x:v>庐山市</x:v>
      </x:c>
      <x:c r="C109" s="17" t="n">
        <x:v>2025</x:v>
      </x:c>
      <x:c r="D109" s="18"/>
      <x:c r="E109" s="18"/>
      <x:c r="F109" s="17"/>
      <x:c r="G109" s="18"/>
      <x:c r="H109" s="18"/>
      <x:c r="I109" s="18"/>
      <x:c r="J109" s="18"/>
      <x:c r="K109" s="18"/>
      <x:c r="L109" s="18"/>
      <x:c r="M109" s="18"/>
      <x:c r="N109" s="17"/>
      <x:c r="O109" s="18"/>
      <x:c r="P109" s="18"/>
      <x:c r="Q109" s="18"/>
      <x:c r="R109" s="16"/>
      <x:c r="S109" s="16"/>
      <x:c r="T109" s="16"/>
    </x:row>
    <x:row r="110">
      <x:c r="A110" s="16" t="str">
        <x:v>新余市</x:v>
      </x:c>
      <x:c r="B110" s="16" t="str">
        <x:v>分宜县</x:v>
      </x:c>
      <x:c r="C110" s="17" t="n">
        <x:v>2020</x:v>
      </x:c>
      <x:c r="D110" s="18"/>
      <x:c r="E110" s="18"/>
      <x:c r="F110" s="17"/>
      <x:c r="G110" s="18"/>
      <x:c r="H110" s="18"/>
      <x:c r="I110" s="18"/>
      <x:c r="J110" s="18"/>
      <x:c r="K110" s="18"/>
      <x:c r="L110" s="18"/>
      <x:c r="M110" s="18"/>
      <x:c r="N110" s="17"/>
      <x:c r="O110" s="18"/>
      <x:c r="P110" s="18"/>
      <x:c r="Q110" s="18"/>
      <x:c r="R110" s="16"/>
      <x:c r="S110" s="16"/>
      <x:c r="T110" s="16"/>
    </x:row>
    <x:row r="111">
      <x:c r="A111" s="16" t="str">
        <x:v>新余市</x:v>
      </x:c>
      <x:c r="B111" s="16" t="str">
        <x:v>分宜县</x:v>
      </x:c>
      <x:c r="C111" s="17" t="n">
        <x:v>2021</x:v>
      </x:c>
      <x:c r="D111" s="18"/>
      <x:c r="E111" s="18"/>
      <x:c r="F111" s="17"/>
      <x:c r="G111" s="18"/>
      <x:c r="H111" s="18"/>
      <x:c r="I111" s="18"/>
      <x:c r="J111" s="18"/>
      <x:c r="K111" s="18"/>
      <x:c r="L111" s="18"/>
      <x:c r="M111" s="18"/>
      <x:c r="N111" s="17"/>
      <x:c r="O111" s="18"/>
      <x:c r="P111" s="18"/>
      <x:c r="Q111" s="18"/>
      <x:c r="R111" s="16"/>
      <x:c r="S111" s="16"/>
      <x:c r="T111" s="16"/>
    </x:row>
    <x:row r="112">
      <x:c r="A112" s="16" t="str">
        <x:v>新余市</x:v>
      </x:c>
      <x:c r="B112" s="16" t="str">
        <x:v>分宜县</x:v>
      </x:c>
      <x:c r="C112" s="17" t="n">
        <x:v>2022</x:v>
      </x:c>
      <x:c r="D112" s="18"/>
      <x:c r="E112" s="18"/>
      <x:c r="F112" s="17"/>
      <x:c r="G112" s="18"/>
      <x:c r="H112" s="18"/>
      <x:c r="I112" s="18"/>
      <x:c r="J112" s="18"/>
      <x:c r="K112" s="18"/>
      <x:c r="L112" s="18"/>
      <x:c r="M112" s="18"/>
      <x:c r="N112" s="17"/>
      <x:c r="O112" s="18"/>
      <x:c r="P112" s="18"/>
      <x:c r="Q112" s="18"/>
      <x:c r="R112" s="16"/>
      <x:c r="S112" s="16"/>
      <x:c r="T112" s="16"/>
    </x:row>
    <x:row r="113">
      <x:c r="A113" s="16" t="str">
        <x:v>新余市</x:v>
      </x:c>
      <x:c r="B113" s="16" t="str">
        <x:v>分宜县</x:v>
      </x:c>
      <x:c r="C113" s="17" t="n">
        <x:v>2023</x:v>
      </x:c>
      <x:c r="D113" s="18"/>
      <x:c r="E113" s="18"/>
      <x:c r="F113" s="17"/>
      <x:c r="G113" s="18"/>
      <x:c r="H113" s="18"/>
      <x:c r="I113" s="18"/>
      <x:c r="J113" s="18"/>
      <x:c r="K113" s="18"/>
      <x:c r="L113" s="18"/>
      <x:c r="M113" s="18"/>
      <x:c r="N113" s="17"/>
      <x:c r="O113" s="18"/>
      <x:c r="P113" s="18"/>
      <x:c r="Q113" s="18"/>
      <x:c r="R113" s="16"/>
      <x:c r="S113" s="16"/>
      <x:c r="T113" s="16"/>
    </x:row>
    <x:row r="114">
      <x:c r="A114" s="16" t="str">
        <x:v>新余市</x:v>
      </x:c>
      <x:c r="B114" s="16" t="str">
        <x:v>分宜县</x:v>
      </x:c>
      <x:c r="C114" s="17" t="n">
        <x:v>2024</x:v>
      </x:c>
      <x:c r="D114" s="18"/>
      <x:c r="E114" s="18"/>
      <x:c r="F114" s="17"/>
      <x:c r="G114" s="18"/>
      <x:c r="H114" s="18"/>
      <x:c r="I114" s="18"/>
      <x:c r="J114" s="18"/>
      <x:c r="K114" s="18"/>
      <x:c r="L114" s="18"/>
      <x:c r="M114" s="18"/>
      <x:c r="N114" s="17"/>
      <x:c r="O114" s="18"/>
      <x:c r="P114" s="18"/>
      <x:c r="Q114" s="18"/>
      <x:c r="R114" s="16"/>
      <x:c r="S114" s="16"/>
      <x:c r="T114" s="16"/>
    </x:row>
    <x:row r="115">
      <x:c r="A115" s="16" t="str">
        <x:v>新余市</x:v>
      </x:c>
      <x:c r="B115" s="16" t="str">
        <x:v>分宜县</x:v>
      </x:c>
      <x:c r="C115" s="17" t="n">
        <x:v>2025</x:v>
      </x:c>
      <x:c r="D115" s="18"/>
      <x:c r="E115" s="18"/>
      <x:c r="F115" s="17"/>
      <x:c r="G115" s="18"/>
      <x:c r="H115" s="18"/>
      <x:c r="I115" s="18"/>
      <x:c r="J115" s="18"/>
      <x:c r="K115" s="18"/>
      <x:c r="L115" s="18"/>
      <x:c r="M115" s="18"/>
      <x:c r="N115" s="17"/>
      <x:c r="O115" s="18"/>
      <x:c r="P115" s="18"/>
      <x:c r="Q115" s="18"/>
      <x:c r="R115" s="16"/>
      <x:c r="S115" s="16"/>
      <x:c r="T115" s="16"/>
    </x:row>
    <x:row r="116">
      <x:c r="A116" s="16" t="str">
        <x:v>鹰潭市</x:v>
      </x:c>
      <x:c r="B116" s="16" t="str">
        <x:v>贵溪市</x:v>
      </x:c>
      <x:c r="C116" s="17" t="n">
        <x:v>2020</x:v>
      </x:c>
      <x:c r="D116" s="18" t="n">
        <x:v>506.2</x:v>
      </x:c>
      <x:c r="E116" s="18"/>
      <x:c r="F116" s="17"/>
      <x:c r="G116" s="18"/>
      <x:c r="H116" s="18"/>
      <x:c r="I116" s="18"/>
      <x:c r="J116" s="18"/>
      <x:c r="K116" s="18"/>
      <x:c r="L116" s="18"/>
      <x:c r="M116" s="18"/>
      <x:c r="N116" s="17"/>
      <x:c r="O116" s="18"/>
      <x:c r="P116" s="18"/>
      <x:c r="Q116" s="18"/>
      <x:c r="R116" s="16" t="str">
        <x:v>B</x:v>
      </x:c>
      <x:c r="S116" s="16" t="str">
        <x:v>https://www.maigoo.com/news/608920.html</x:v>
      </x:c>
      <x:c r="T116" s="16" t="str">
        <x:v>GDP排行聚合，来源各地统计公报</x:v>
      </x:c>
    </x:row>
    <x:row r="117">
      <x:c r="A117" s="16" t="str">
        <x:v>鹰潭市</x:v>
      </x:c>
      <x:c r="B117" s="16" t="str">
        <x:v>贵溪市</x:v>
      </x:c>
      <x:c r="C117" s="17" t="n">
        <x:v>2021</x:v>
      </x:c>
      <x:c r="D117" s="18" t="n">
        <x:v>592.3</x:v>
      </x:c>
      <x:c r="E117" s="18"/>
      <x:c r="F117" s="17"/>
      <x:c r="G117" s="18"/>
      <x:c r="H117" s="18"/>
      <x:c r="I117" s="18"/>
      <x:c r="J117" s="18"/>
      <x:c r="K117" s="18"/>
      <x:c r="L117" s="18"/>
      <x:c r="M117" s="18"/>
      <x:c r="N117" s="17"/>
      <x:c r="O117" s="18"/>
      <x:c r="P117" s="18"/>
      <x:c r="Q117" s="18"/>
      <x:c r="R117" s="16" t="str">
        <x:v>B</x:v>
      </x:c>
      <x:c r="S117" s="16" t="str">
        <x:v>https://www.maigoo.com/news/632974.html</x:v>
      </x:c>
      <x:c r="T117" s="16" t="str">
        <x:v>GDP排行聚合，来源各地统计公报</x:v>
      </x:c>
    </x:row>
    <x:row r="118">
      <x:c r="A118" s="16" t="str">
        <x:v>鹰潭市</x:v>
      </x:c>
      <x:c r="B118" s="16" t="str">
        <x:v>贵溪市</x:v>
      </x:c>
      <x:c r="C118" s="17" t="n">
        <x:v>2022</x:v>
      </x:c>
      <x:c r="D118" s="18"/>
      <x:c r="E118" s="18"/>
      <x:c r="F118" s="17"/>
      <x:c r="G118" s="18"/>
      <x:c r="H118" s="18"/>
      <x:c r="I118" s="18"/>
      <x:c r="J118" s="18"/>
      <x:c r="K118" s="18"/>
      <x:c r="L118" s="18"/>
      <x:c r="M118" s="18"/>
      <x:c r="N118" s="17"/>
      <x:c r="O118" s="18"/>
      <x:c r="P118" s="18"/>
      <x:c r="Q118" s="18"/>
      <x:c r="R118" s="16"/>
      <x:c r="S118" s="16"/>
      <x:c r="T118" s="16"/>
    </x:row>
    <x:row r="119">
      <x:c r="A119" s="16" t="str">
        <x:v>鹰潭市</x:v>
      </x:c>
      <x:c r="B119" s="16" t="str">
        <x:v>贵溪市</x:v>
      </x:c>
      <x:c r="C119" s="17" t="n">
        <x:v>2023</x:v>
      </x:c>
      <x:c r="D119" s="18"/>
      <x:c r="E119" s="18"/>
      <x:c r="F119" s="17"/>
      <x:c r="G119" s="18"/>
      <x:c r="H119" s="18"/>
      <x:c r="I119" s="18"/>
      <x:c r="J119" s="18"/>
      <x:c r="K119" s="18"/>
      <x:c r="L119" s="18"/>
      <x:c r="M119" s="18"/>
      <x:c r="N119" s="17"/>
      <x:c r="O119" s="18"/>
      <x:c r="P119" s="18"/>
      <x:c r="Q119" s="18"/>
      <x:c r="R119" s="16"/>
      <x:c r="S119" s="16"/>
      <x:c r="T119" s="16"/>
    </x:row>
    <x:row r="120">
      <x:c r="A120" s="16" t="str">
        <x:v>鹰潭市</x:v>
      </x:c>
      <x:c r="B120" s="16" t="str">
        <x:v>贵溪市</x:v>
      </x:c>
      <x:c r="C120" s="17" t="n">
        <x:v>2024</x:v>
      </x:c>
      <x:c r="D120" s="18"/>
      <x:c r="E120" s="18"/>
      <x:c r="F120" s="17"/>
      <x:c r="G120" s="18"/>
      <x:c r="H120" s="18"/>
      <x:c r="I120" s="18"/>
      <x:c r="J120" s="18"/>
      <x:c r="K120" s="18"/>
      <x:c r="L120" s="18"/>
      <x:c r="M120" s="18"/>
      <x:c r="N120" s="17"/>
      <x:c r="O120" s="18"/>
      <x:c r="P120" s="18"/>
      <x:c r="Q120" s="18"/>
      <x:c r="R120" s="16"/>
      <x:c r="S120" s="16"/>
      <x:c r="T120" s="16"/>
    </x:row>
    <x:row r="121">
      <x:c r="A121" s="16" t="str">
        <x:v>鹰潭市</x:v>
      </x:c>
      <x:c r="B121" s="16" t="str">
        <x:v>贵溪市</x:v>
      </x:c>
      <x:c r="C121" s="17" t="n">
        <x:v>2025</x:v>
      </x:c>
      <x:c r="D121" s="18"/>
      <x:c r="E121" s="18"/>
      <x:c r="F121" s="17"/>
      <x:c r="G121" s="18"/>
      <x:c r="H121" s="18"/>
      <x:c r="I121" s="18"/>
      <x:c r="J121" s="18"/>
      <x:c r="K121" s="18"/>
      <x:c r="L121" s="18"/>
      <x:c r="M121" s="18"/>
      <x:c r="N121" s="17"/>
      <x:c r="O121" s="18"/>
      <x:c r="P121" s="18"/>
      <x:c r="Q121" s="18"/>
      <x:c r="R121" s="16"/>
      <x:c r="S121" s="16"/>
      <x:c r="T121" s="16"/>
    </x:row>
    <x:row r="122">
      <x:c r="A122" s="16" t="str">
        <x:v>赣州市</x:v>
      </x:c>
      <x:c r="B122" s="16" t="str">
        <x:v>大余县</x:v>
      </x:c>
      <x:c r="C122" s="17" t="n">
        <x:v>2020</x:v>
      </x:c>
      <x:c r="D122" s="18" t="n">
        <x:v>110.9422</x:v>
      </x:c>
      <x:c r="E122" s="18"/>
      <x:c r="F122" s="17"/>
      <x:c r="G122" s="18"/>
      <x:c r="H122" s="18"/>
      <x:c r="I122" s="18"/>
      <x:c r="J122" s="18"/>
      <x:c r="K122" s="18"/>
      <x:c r="L122" s="18"/>
      <x:c r="M122" s="18" t="n">
        <x:v>114.4356</x:v>
      </x:c>
      <x:c r="N122" s="17"/>
      <x:c r="O122" s="18"/>
      <x:c r="P122" s="18"/>
      <x:c r="Q122" s="18"/>
      <x:c r="R122" s="16" t="str">
        <x:v>A</x:v>
      </x:c>
      <x:c r="S122" s="16" t="str">
        <x:v>https://www.ganzhou.gov.cn/zfxxgk/c100445/202503/b0e046a63c8349efb70d4ae0d7ea98aa/files/6770a9762068466fa33e8ed6e25ecac7.pdf</x:v>
      </x:c>
      <x:c r="T122" s="16" t="str">
        <x:v>赣州统计年鉴2024：住户存款余额，万元换算亿元</x:v>
      </x:c>
    </x:row>
    <x:row r="123">
      <x:c r="A123" s="16" t="str">
        <x:v>赣州市</x:v>
      </x:c>
      <x:c r="B123" s="16" t="str">
        <x:v>大余县</x:v>
      </x:c>
      <x:c r="C123" s="17" t="n">
        <x:v>2021</x:v>
      </x:c>
      <x:c r="D123" s="18"/>
      <x:c r="E123" s="18"/>
      <x:c r="F123" s="17"/>
      <x:c r="G123" s="18"/>
      <x:c r="H123" s="18"/>
      <x:c r="I123" s="18"/>
      <x:c r="J123" s="18"/>
      <x:c r="K123" s="18"/>
      <x:c r="L123" s="18"/>
      <x:c r="M123" s="18" t="n">
        <x:v>128.9722</x:v>
      </x:c>
      <x:c r="N123" s="17"/>
      <x:c r="O123" s="18"/>
      <x:c r="P123" s="18"/>
      <x:c r="Q123" s="18"/>
      <x:c r="R123" s="16" t="str">
        <x:v>A</x:v>
      </x:c>
      <x:c r="S123" s="16" t="str">
        <x:v>https://www.ganzhou.gov.cn/zfxxgk/c100445/202503/b0e046a63c8349efb70d4ae0d7ea98aa/files/6770a9762068466fa33e8ed6e25ecac7.pdf</x:v>
      </x:c>
      <x:c r="T123" s="16" t="str">
        <x:v>赣州统计年鉴2024：住户存款余额，万元换算亿元</x:v>
      </x:c>
    </x:row>
    <x:row r="124">
      <x:c r="A124" s="16" t="str">
        <x:v>赣州市</x:v>
      </x:c>
      <x:c r="B124" s="16" t="str">
        <x:v>大余县</x:v>
      </x:c>
      <x:c r="C124" s="17" t="n">
        <x:v>2022</x:v>
      </x:c>
      <x:c r="D124" s="18"/>
      <x:c r="E124" s="18"/>
      <x:c r="F124" s="17"/>
      <x:c r="G124" s="18"/>
      <x:c r="H124" s="18"/>
      <x:c r="I124" s="18"/>
      <x:c r="J124" s="18"/>
      <x:c r="K124" s="18"/>
      <x:c r="L124" s="18"/>
      <x:c r="M124" s="18" t="n">
        <x:v>148.8196</x:v>
      </x:c>
      <x:c r="N124" s="17"/>
      <x:c r="O124" s="18"/>
      <x:c r="P124" s="18"/>
      <x:c r="Q124" s="18"/>
      <x:c r="R124" s="16" t="str">
        <x:v>A</x:v>
      </x:c>
      <x:c r="S124" s="16" t="str">
        <x:v>https://www.ganzhou.gov.cn/zfxxgk/c100445/202503/b0e046a63c8349efb70d4ae0d7ea98aa/files/6770a9762068466fa33e8ed6e25ecac7.pdf</x:v>
      </x:c>
      <x:c r="T124" s="16" t="str">
        <x:v>赣州统计年鉴2024：住户存款余额，万元换算亿元</x:v>
      </x:c>
    </x:row>
    <x:row r="125">
      <x:c r="A125" s="16" t="str">
        <x:v>赣州市</x:v>
      </x:c>
      <x:c r="B125" s="16" t="str">
        <x:v>大余县</x:v>
      </x:c>
      <x:c r="C125" s="17" t="n">
        <x:v>2023</x:v>
      </x:c>
      <x:c r="D125" s="18" t="n">
        <x:v>136.82</x:v>
      </x:c>
      <x:c r="E125" s="18"/>
      <x:c r="F125" s="17"/>
      <x:c r="G125" s="18"/>
      <x:c r="H125" s="18"/>
      <x:c r="I125" s="18"/>
      <x:c r="J125" s="18"/>
      <x:c r="K125" s="18"/>
      <x:c r="L125" s="18"/>
      <x:c r="M125" s="18" t="n">
        <x:v>169.4891</x:v>
      </x:c>
      <x:c r="N125" s="17"/>
      <x:c r="O125" s="18"/>
      <x:c r="P125" s="18"/>
      <x:c r="Q125" s="18"/>
      <x:c r="R125" s="16" t="str">
        <x:v>A</x:v>
      </x:c>
      <x:c r="S125" s="16" t="str">
        <x:v>https://www.ganzhou.gov.cn/zfxxgk/c100445/202503/b0e046a63c8349efb70d4ae0d7ea98aa/files/6770a9762068466fa33e8ed6e25ecac7.pdf</x:v>
      </x:c>
      <x:c r="T125" s="16" t="str">
        <x:v>赣州统计年鉴2024：住户存款余额，万元换算亿元</x:v>
      </x:c>
    </x:row>
    <x:row r="126">
      <x:c r="A126" s="16" t="str">
        <x:v>赣州市</x:v>
      </x:c>
      <x:c r="B126" s="16" t="str">
        <x:v>大余县</x:v>
      </x:c>
      <x:c r="C126" s="17" t="n">
        <x:v>2024</x:v>
      </x:c>
      <x:c r="D126" s="18"/>
      <x:c r="E126" s="18"/>
      <x:c r="F126" s="17"/>
      <x:c r="G126" s="18"/>
      <x:c r="H126" s="18"/>
      <x:c r="I126" s="18"/>
      <x:c r="J126" s="18"/>
      <x:c r="K126" s="18"/>
      <x:c r="L126" s="18"/>
      <x:c r="M126" s="18"/>
      <x:c r="N126" s="17"/>
      <x:c r="O126" s="18"/>
      <x:c r="P126" s="18"/>
      <x:c r="Q126" s="18"/>
      <x:c r="R126" s="16"/>
      <x:c r="S126" s="16"/>
      <x:c r="T126" s="16"/>
    </x:row>
    <x:row r="127">
      <x:c r="A127" s="16" t="str">
        <x:v>赣州市</x:v>
      </x:c>
      <x:c r="B127" s="16" t="str">
        <x:v>大余县</x:v>
      </x:c>
      <x:c r="C127" s="17" t="n">
        <x:v>2025</x:v>
      </x:c>
      <x:c r="D127" s="18"/>
      <x:c r="E127" s="18"/>
      <x:c r="F127" s="17"/>
      <x:c r="G127" s="18"/>
      <x:c r="H127" s="18"/>
      <x:c r="I127" s="18"/>
      <x:c r="J127" s="18"/>
      <x:c r="K127" s="18"/>
      <x:c r="L127" s="18"/>
      <x:c r="M127" s="18"/>
      <x:c r="N127" s="17"/>
      <x:c r="O127" s="18"/>
      <x:c r="P127" s="18"/>
      <x:c r="Q127" s="18"/>
      <x:c r="R127" s="16"/>
      <x:c r="S127" s="16"/>
      <x:c r="T127" s="16"/>
    </x:row>
    <x:row r="128">
      <x:c r="A128" s="16" t="str">
        <x:v>赣州市</x:v>
      </x:c>
      <x:c r="B128" s="16" t="str">
        <x:v>上犹县</x:v>
      </x:c>
      <x:c r="C128" s="17" t="n">
        <x:v>2020</x:v>
      </x:c>
      <x:c r="D128" s="18"/>
      <x:c r="E128" s="18"/>
      <x:c r="F128" s="17"/>
      <x:c r="G128" s="18"/>
      <x:c r="H128" s="18"/>
      <x:c r="I128" s="18"/>
      <x:c r="J128" s="18"/>
      <x:c r="K128" s="18"/>
      <x:c r="L128" s="18"/>
      <x:c r="M128" s="18" t="n">
        <x:v>102.2741</x:v>
      </x:c>
      <x:c r="N128" s="17"/>
      <x:c r="O128" s="18"/>
      <x:c r="P128" s="18"/>
      <x:c r="Q128" s="18"/>
      <x:c r="R128" s="16" t="str">
        <x:v>A</x:v>
      </x:c>
      <x:c r="S128" s="16" t="str">
        <x:v>https://www.ganzhou.gov.cn/zfxxgk/c100445/202503/b0e046a63c8349efb70d4ae0d7ea98aa/files/6770a9762068466fa33e8ed6e25ecac7.pdf</x:v>
      </x:c>
      <x:c r="T128" s="16" t="str">
        <x:v>赣州统计年鉴2024：住户存款余额，万元换算亿元</x:v>
      </x:c>
    </x:row>
    <x:row r="129">
      <x:c r="A129" s="16" t="str">
        <x:v>赣州市</x:v>
      </x:c>
      <x:c r="B129" s="16" t="str">
        <x:v>上犹县</x:v>
      </x:c>
      <x:c r="C129" s="17" t="n">
        <x:v>2021</x:v>
      </x:c>
      <x:c r="D129" s="18"/>
      <x:c r="E129" s="18"/>
      <x:c r="F129" s="17"/>
      <x:c r="G129" s="18"/>
      <x:c r="H129" s="18"/>
      <x:c r="I129" s="18"/>
      <x:c r="J129" s="18"/>
      <x:c r="K129" s="18"/>
      <x:c r="L129" s="18"/>
      <x:c r="M129" s="18" t="n">
        <x:v>114.0575</x:v>
      </x:c>
      <x:c r="N129" s="17"/>
      <x:c r="O129" s="18"/>
      <x:c r="P129" s="18"/>
      <x:c r="Q129" s="18"/>
      <x:c r="R129" s="16" t="str">
        <x:v>A</x:v>
      </x:c>
      <x:c r="S129" s="16" t="str">
        <x:v>https://www.ganzhou.gov.cn/zfxxgk/c100445/202503/b0e046a63c8349efb70d4ae0d7ea98aa/files/6770a9762068466fa33e8ed6e25ecac7.pdf</x:v>
      </x:c>
      <x:c r="T129" s="16" t="str">
        <x:v>赣州统计年鉴2024：住户存款余额，万元换算亿元</x:v>
      </x:c>
    </x:row>
    <x:row r="130">
      <x:c r="A130" s="16" t="str">
        <x:v>赣州市</x:v>
      </x:c>
      <x:c r="B130" s="16" t="str">
        <x:v>上犹县</x:v>
      </x:c>
      <x:c r="C130" s="17" t="n">
        <x:v>2022</x:v>
      </x:c>
      <x:c r="D130" s="18" t="n">
        <x:v>112.44</x:v>
      </x:c>
      <x:c r="E130" s="18"/>
      <x:c r="F130" s="17"/>
      <x:c r="G130" s="18"/>
      <x:c r="H130" s="18"/>
      <x:c r="I130" s="18"/>
      <x:c r="J130" s="18"/>
      <x:c r="K130" s="18"/>
      <x:c r="L130" s="18"/>
      <x:c r="M130" s="18" t="n">
        <x:v>130.4066</x:v>
      </x:c>
      <x:c r="N130" s="17"/>
      <x:c r="O130" s="18"/>
      <x:c r="P130" s="18"/>
      <x:c r="Q130" s="18"/>
      <x:c r="R130" s="16" t="str">
        <x:v>A</x:v>
      </x:c>
      <x:c r="S130" s="16" t="str">
        <x:v>https://www.ganzhou.gov.cn/zfxxgk/c100445/202503/b0e046a63c8349efb70d4ae0d7ea98aa/files/6770a9762068466fa33e8ed6e25ecac7.pdf</x:v>
      </x:c>
      <x:c r="T130" s="16" t="str">
        <x:v>赣州统计年鉴2024：住户存款余额，万元换算亿元</x:v>
      </x:c>
    </x:row>
    <x:row r="131">
      <x:c r="A131" s="16" t="str">
        <x:v>赣州市</x:v>
      </x:c>
      <x:c r="B131" s="16" t="str">
        <x:v>上犹县</x:v>
      </x:c>
      <x:c r="C131" s="17" t="n">
        <x:v>2023</x:v>
      </x:c>
      <x:c r="D131" s="18" t="n">
        <x:v>115.5</x:v>
      </x:c>
      <x:c r="E131" s="18"/>
      <x:c r="F131" s="17"/>
      <x:c r="G131" s="18"/>
      <x:c r="H131" s="18"/>
      <x:c r="I131" s="18"/>
      <x:c r="J131" s="18"/>
      <x:c r="K131" s="18"/>
      <x:c r="L131" s="18"/>
      <x:c r="M131" s="18" t="n">
        <x:v>148.4178</x:v>
      </x:c>
      <x:c r="N131" s="17"/>
      <x:c r="O131" s="18"/>
      <x:c r="P131" s="18"/>
      <x:c r="Q131" s="18"/>
      <x:c r="R131" s="16" t="str">
        <x:v>A</x:v>
      </x:c>
      <x:c r="S131" s="16" t="str">
        <x:v>https://www.ganzhou.gov.cn/zfxxgk/c100445/202503/b0e046a63c8349efb70d4ae0d7ea98aa/files/6770a9762068466fa33e8ed6e25ecac7.pdf</x:v>
      </x:c>
      <x:c r="T131" s="16" t="str">
        <x:v>赣州统计年鉴2024：住户存款余额，万元换算亿元</x:v>
      </x:c>
    </x:row>
    <x:row r="132">
      <x:c r="A132" s="16" t="str">
        <x:v>赣州市</x:v>
      </x:c>
      <x:c r="B132" s="16" t="str">
        <x:v>上犹县</x:v>
      </x:c>
      <x:c r="C132" s="17" t="n">
        <x:v>2024</x:v>
      </x:c>
      <x:c r="D132" s="18"/>
      <x:c r="E132" s="18"/>
      <x:c r="F132" s="17"/>
      <x:c r="G132" s="18"/>
      <x:c r="H132" s="18"/>
      <x:c r="I132" s="18"/>
      <x:c r="J132" s="18"/>
      <x:c r="K132" s="18"/>
      <x:c r="L132" s="18"/>
      <x:c r="M132" s="18"/>
      <x:c r="N132" s="17"/>
      <x:c r="O132" s="18"/>
      <x:c r="P132" s="18"/>
      <x:c r="Q132" s="18"/>
      <x:c r="R132" s="16"/>
      <x:c r="S132" s="16"/>
      <x:c r="T132" s="16"/>
    </x:row>
    <x:row r="133">
      <x:c r="A133" s="16" t="str">
        <x:v>赣州市</x:v>
      </x:c>
      <x:c r="B133" s="16" t="str">
        <x:v>上犹县</x:v>
      </x:c>
      <x:c r="C133" s="17" t="n">
        <x:v>2025</x:v>
      </x:c>
      <x:c r="D133" s="18"/>
      <x:c r="E133" s="18"/>
      <x:c r="F133" s="17"/>
      <x:c r="G133" s="18"/>
      <x:c r="H133" s="18"/>
      <x:c r="I133" s="18"/>
      <x:c r="J133" s="18"/>
      <x:c r="K133" s="18"/>
      <x:c r="L133" s="18"/>
      <x:c r="M133" s="18"/>
      <x:c r="N133" s="17"/>
      <x:c r="O133" s="18"/>
      <x:c r="P133" s="18"/>
      <x:c r="Q133" s="18"/>
      <x:c r="R133" s="16"/>
      <x:c r="S133" s="16"/>
      <x:c r="T133" s="16"/>
    </x:row>
    <x:row r="134">
      <x:c r="A134" s="16" t="str">
        <x:v>赣州市</x:v>
      </x:c>
      <x:c r="B134" s="16" t="str">
        <x:v>崇义县</x:v>
      </x:c>
      <x:c r="C134" s="17" t="n">
        <x:v>2020</x:v>
      </x:c>
      <x:c r="D134" s="18"/>
      <x:c r="E134" s="18"/>
      <x:c r="F134" s="17"/>
      <x:c r="G134" s="18"/>
      <x:c r="H134" s="18"/>
      <x:c r="I134" s="18"/>
      <x:c r="J134" s="18"/>
      <x:c r="K134" s="18"/>
      <x:c r="L134" s="18"/>
      <x:c r="M134" s="18" t="n">
        <x:v>78.472</x:v>
      </x:c>
      <x:c r="N134" s="17"/>
      <x:c r="O134" s="18"/>
      <x:c r="P134" s="18"/>
      <x:c r="Q134" s="18"/>
      <x:c r="R134" s="16" t="str">
        <x:v>A</x:v>
      </x:c>
      <x:c r="S134" s="16" t="str">
        <x:v>https://www.ganzhou.gov.cn/zfxxgk/c100445/202503/b0e046a63c8349efb70d4ae0d7ea98aa/files/6770a9762068466fa33e8ed6e25ecac7.pdf</x:v>
      </x:c>
      <x:c r="T134" s="16" t="str">
        <x:v>赣州统计年鉴2024：住户存款余额，万元换算亿元</x:v>
      </x:c>
    </x:row>
    <x:row r="135">
      <x:c r="A135" s="16" t="str">
        <x:v>赣州市</x:v>
      </x:c>
      <x:c r="B135" s="16" t="str">
        <x:v>崇义县</x:v>
      </x:c>
      <x:c r="C135" s="17" t="n">
        <x:v>2021</x:v>
      </x:c>
      <x:c r="D135" s="18"/>
      <x:c r="E135" s="18"/>
      <x:c r="F135" s="17"/>
      <x:c r="G135" s="18"/>
      <x:c r="H135" s="18"/>
      <x:c r="I135" s="18"/>
      <x:c r="J135" s="18"/>
      <x:c r="K135" s="18"/>
      <x:c r="L135" s="18"/>
      <x:c r="M135" s="18" t="n">
        <x:v>86.0041</x:v>
      </x:c>
      <x:c r="N135" s="17"/>
      <x:c r="O135" s="18"/>
      <x:c r="P135" s="18"/>
      <x:c r="Q135" s="18"/>
      <x:c r="R135" s="16" t="str">
        <x:v>A</x:v>
      </x:c>
      <x:c r="S135" s="16" t="str">
        <x:v>https://www.ganzhou.gov.cn/zfxxgk/c100445/202503/b0e046a63c8349efb70d4ae0d7ea98aa/files/6770a9762068466fa33e8ed6e25ecac7.pdf</x:v>
      </x:c>
      <x:c r="T135" s="16" t="str">
        <x:v>赣州统计年鉴2024：住户存款余额，万元换算亿元</x:v>
      </x:c>
    </x:row>
    <x:row r="136">
      <x:c r="A136" s="16" t="str">
        <x:v>赣州市</x:v>
      </x:c>
      <x:c r="B136" s="16" t="str">
        <x:v>崇义县</x:v>
      </x:c>
      <x:c r="C136" s="17" t="n">
        <x:v>2022</x:v>
      </x:c>
      <x:c r="D136" s="18" t="n">
        <x:v>110.86</x:v>
      </x:c>
      <x:c r="E136" s="18"/>
      <x:c r="F136" s="17"/>
      <x:c r="G136" s="18"/>
      <x:c r="H136" s="18"/>
      <x:c r="I136" s="18"/>
      <x:c r="J136" s="18"/>
      <x:c r="K136" s="18"/>
      <x:c r="L136" s="18"/>
      <x:c r="M136" s="18" t="n">
        <x:v>99.6271</x:v>
      </x:c>
      <x:c r="N136" s="17"/>
      <x:c r="O136" s="18"/>
      <x:c r="P136" s="18"/>
      <x:c r="Q136" s="18"/>
      <x:c r="R136" s="16" t="str">
        <x:v>A</x:v>
      </x:c>
      <x:c r="S136" s="16" t="str">
        <x:v>https://www.ganzhou.gov.cn/zfxxgk/c100445/202503/b0e046a63c8349efb70d4ae0d7ea98aa/files/6770a9762068466fa33e8ed6e25ecac7.pdf</x:v>
      </x:c>
      <x:c r="T136" s="16" t="str">
        <x:v>赣州统计年鉴2024：住户存款余额，万元换算亿元</x:v>
      </x:c>
    </x:row>
    <x:row r="137">
      <x:c r="A137" s="16" t="str">
        <x:v>赣州市</x:v>
      </x:c>
      <x:c r="B137" s="16" t="str">
        <x:v>崇义县</x:v>
      </x:c>
      <x:c r="C137" s="17" t="n">
        <x:v>2023</x:v>
      </x:c>
      <x:c r="D137" s="18" t="n">
        <x:v>112.43</x:v>
      </x:c>
      <x:c r="E137" s="18"/>
      <x:c r="F137" s="17"/>
      <x:c r="G137" s="18"/>
      <x:c r="H137" s="18"/>
      <x:c r="I137" s="18"/>
      <x:c r="J137" s="18"/>
      <x:c r="K137" s="18"/>
      <x:c r="L137" s="18"/>
      <x:c r="M137" s="18" t="n">
        <x:v>115.0592</x:v>
      </x:c>
      <x:c r="N137" s="17"/>
      <x:c r="O137" s="18"/>
      <x:c r="P137" s="18"/>
      <x:c r="Q137" s="18"/>
      <x:c r="R137" s="16" t="str">
        <x:v>A</x:v>
      </x:c>
      <x:c r="S137" s="16" t="str">
        <x:v>https://www.ganzhou.gov.cn/zfxxgk/c100445/202503/b0e046a63c8349efb70d4ae0d7ea98aa/files/6770a9762068466fa33e8ed6e25ecac7.pdf</x:v>
      </x:c>
      <x:c r="T137" s="16" t="str">
        <x:v>赣州统计年鉴2024：住户存款余额，万元换算亿元</x:v>
      </x:c>
    </x:row>
    <x:row r="138">
      <x:c r="A138" s="16" t="str">
        <x:v>赣州市</x:v>
      </x:c>
      <x:c r="B138" s="16" t="str">
        <x:v>崇义县</x:v>
      </x:c>
      <x:c r="C138" s="17" t="n">
        <x:v>2024</x:v>
      </x:c>
      <x:c r="D138" s="18"/>
      <x:c r="E138" s="18"/>
      <x:c r="F138" s="17"/>
      <x:c r="G138" s="18"/>
      <x:c r="H138" s="18"/>
      <x:c r="I138" s="18"/>
      <x:c r="J138" s="18"/>
      <x:c r="K138" s="18"/>
      <x:c r="L138" s="18"/>
      <x:c r="M138" s="18"/>
      <x:c r="N138" s="17"/>
      <x:c r="O138" s="18"/>
      <x:c r="P138" s="18"/>
      <x:c r="Q138" s="18"/>
      <x:c r="R138" s="16"/>
      <x:c r="S138" s="16"/>
      <x:c r="T138" s="16"/>
    </x:row>
    <x:row r="139">
      <x:c r="A139" s="16" t="str">
        <x:v>赣州市</x:v>
      </x:c>
      <x:c r="B139" s="16" t="str">
        <x:v>崇义县</x:v>
      </x:c>
      <x:c r="C139" s="17" t="n">
        <x:v>2025</x:v>
      </x:c>
      <x:c r="D139" s="18"/>
      <x:c r="E139" s="18"/>
      <x:c r="F139" s="17"/>
      <x:c r="G139" s="18"/>
      <x:c r="H139" s="18"/>
      <x:c r="I139" s="18"/>
      <x:c r="J139" s="18"/>
      <x:c r="K139" s="18"/>
      <x:c r="L139" s="18"/>
      <x:c r="M139" s="18"/>
      <x:c r="N139" s="17"/>
      <x:c r="O139" s="18"/>
      <x:c r="P139" s="18"/>
      <x:c r="Q139" s="18"/>
      <x:c r="R139" s="16"/>
      <x:c r="S139" s="16"/>
      <x:c r="T139" s="16"/>
    </x:row>
    <x:row r="140">
      <x:c r="A140" s="16" t="str">
        <x:v>赣州市</x:v>
      </x:c>
      <x:c r="B140" s="16" t="str">
        <x:v>信丰县</x:v>
      </x:c>
      <x:c r="C140" s="17" t="n">
        <x:v>2020</x:v>
      </x:c>
      <x:c r="D140" s="18"/>
      <x:c r="E140" s="18"/>
      <x:c r="F140" s="17"/>
      <x:c r="G140" s="18"/>
      <x:c r="H140" s="18"/>
      <x:c r="I140" s="18"/>
      <x:c r="J140" s="18"/>
      <x:c r="K140" s="18"/>
      <x:c r="L140" s="18"/>
      <x:c r="M140" s="18" t="n">
        <x:v>265.3838</x:v>
      </x:c>
      <x:c r="N140" s="17"/>
      <x:c r="O140" s="18"/>
      <x:c r="P140" s="18"/>
      <x:c r="Q140" s="18"/>
      <x:c r="R140" s="16" t="str">
        <x:v>A</x:v>
      </x:c>
      <x:c r="S140" s="16" t="str">
        <x:v>https://www.ganzhou.gov.cn/zfxxgk/c100445/202503/b0e046a63c8349efb70d4ae0d7ea98aa/files/6770a9762068466fa33e8ed6e25ecac7.pdf</x:v>
      </x:c>
      <x:c r="T140" s="16" t="str">
        <x:v>赣州统计年鉴2024：住户存款余额，万元换算亿元</x:v>
      </x:c>
    </x:row>
    <x:row r="141">
      <x:c r="A141" s="16" t="str">
        <x:v>赣州市</x:v>
      </x:c>
      <x:c r="B141" s="16" t="str">
        <x:v>信丰县</x:v>
      </x:c>
      <x:c r="C141" s="17" t="n">
        <x:v>2021</x:v>
      </x:c>
      <x:c r="D141" s="18" t="n">
        <x:v>280.2</x:v>
      </x:c>
      <x:c r="E141" s="18"/>
      <x:c r="F141" s="17"/>
      <x:c r="G141" s="18"/>
      <x:c r="H141" s="18"/>
      <x:c r="I141" s="18"/>
      <x:c r="J141" s="18"/>
      <x:c r="K141" s="18"/>
      <x:c r="L141" s="18"/>
      <x:c r="M141" s="18" t="n">
        <x:v>290.6556</x:v>
      </x:c>
      <x:c r="N141" s="17"/>
      <x:c r="O141" s="18"/>
      <x:c r="P141" s="18"/>
      <x:c r="Q141" s="18"/>
      <x:c r="R141" s="16" t="str">
        <x:v>A</x:v>
      </x:c>
      <x:c r="S141" s="16" t="str">
        <x:v>https://www.ganzhou.gov.cn/zfxxgk/c100445/202503/b0e046a63c8349efb70d4ae0d7ea98aa/files/6770a9762068466fa33e8ed6e25ecac7.pdf</x:v>
      </x:c>
      <x:c r="T141" s="16" t="str">
        <x:v>赣州统计年鉴2024：住户存款余额，万元换算亿元</x:v>
      </x:c>
    </x:row>
    <x:row r="142">
      <x:c r="A142" s="16" t="str">
        <x:v>赣州市</x:v>
      </x:c>
      <x:c r="B142" s="16" t="str">
        <x:v>信丰县</x:v>
      </x:c>
      <x:c r="C142" s="17" t="n">
        <x:v>2022</x:v>
      </x:c>
      <x:c r="D142" s="18"/>
      <x:c r="E142" s="18"/>
      <x:c r="F142" s="17"/>
      <x:c r="G142" s="18"/>
      <x:c r="H142" s="18"/>
      <x:c r="I142" s="18"/>
      <x:c r="J142" s="18"/>
      <x:c r="K142" s="18"/>
      <x:c r="L142" s="18"/>
      <x:c r="M142" s="18" t="n">
        <x:v>331.8293</x:v>
      </x:c>
      <x:c r="N142" s="17"/>
      <x:c r="O142" s="18"/>
      <x:c r="P142" s="18"/>
      <x:c r="Q142" s="18"/>
      <x:c r="R142" s="16" t="str">
        <x:v>A</x:v>
      </x:c>
      <x:c r="S142" s="16" t="str">
        <x:v>https://www.ganzhou.gov.cn/zfxxgk/c100445/202503/b0e046a63c8349efb70d4ae0d7ea98aa/files/6770a9762068466fa33e8ed6e25ecac7.pdf</x:v>
      </x:c>
      <x:c r="T142" s="16" t="str">
        <x:v>赣州统计年鉴2024：住户存款余额，万元换算亿元</x:v>
      </x:c>
    </x:row>
    <x:row r="143">
      <x:c r="A143" s="16" t="str">
        <x:v>赣州市</x:v>
      </x:c>
      <x:c r="B143" s="16" t="str">
        <x:v>信丰县</x:v>
      </x:c>
      <x:c r="C143" s="17" t="n">
        <x:v>2023</x:v>
      </x:c>
      <x:c r="D143" s="18" t="n">
        <x:v>304.05</x:v>
      </x:c>
      <x:c r="E143" s="18"/>
      <x:c r="F143" s="17"/>
      <x:c r="G143" s="18"/>
      <x:c r="H143" s="18"/>
      <x:c r="I143" s="18"/>
      <x:c r="J143" s="18"/>
      <x:c r="K143" s="18"/>
      <x:c r="L143" s="18"/>
      <x:c r="M143" s="18" t="n">
        <x:v>370.0438</x:v>
      </x:c>
      <x:c r="N143" s="17"/>
      <x:c r="O143" s="18"/>
      <x:c r="P143" s="18"/>
      <x:c r="Q143" s="18"/>
      <x:c r="R143" s="16" t="str">
        <x:v>A</x:v>
      </x:c>
      <x:c r="S143" s="16" t="str">
        <x:v>https://www.ganzhou.gov.cn/zfxxgk/c100445/202503/b0e046a63c8349efb70d4ae0d7ea98aa/files/6770a9762068466fa33e8ed6e25ecac7.pdf</x:v>
      </x:c>
      <x:c r="T143" s="16" t="str">
        <x:v>赣州统计年鉴2024：住户存款余额，万元换算亿元</x:v>
      </x:c>
    </x:row>
    <x:row r="144">
      <x:c r="A144" s="16" t="str">
        <x:v>赣州市</x:v>
      </x:c>
      <x:c r="B144" s="16" t="str">
        <x:v>信丰县</x:v>
      </x:c>
      <x:c r="C144" s="17" t="n">
        <x:v>2024</x:v>
      </x:c>
      <x:c r="D144" s="18"/>
      <x:c r="E144" s="18"/>
      <x:c r="F144" s="17"/>
      <x:c r="G144" s="18"/>
      <x:c r="H144" s="18"/>
      <x:c r="I144" s="18"/>
      <x:c r="J144" s="18"/>
      <x:c r="K144" s="18"/>
      <x:c r="L144" s="18"/>
      <x:c r="M144" s="18"/>
      <x:c r="N144" s="17"/>
      <x:c r="O144" s="18"/>
      <x:c r="P144" s="18"/>
      <x:c r="Q144" s="18"/>
      <x:c r="R144" s="16"/>
      <x:c r="S144" s="16"/>
      <x:c r="T144" s="16"/>
    </x:row>
    <x:row r="145">
      <x:c r="A145" s="16" t="str">
        <x:v>赣州市</x:v>
      </x:c>
      <x:c r="B145" s="16" t="str">
        <x:v>信丰县</x:v>
      </x:c>
      <x:c r="C145" s="17" t="n">
        <x:v>2025</x:v>
      </x:c>
      <x:c r="D145" s="18" t="n">
        <x:v>341</x:v>
      </x:c>
      <x:c r="E145" s="18"/>
      <x:c r="F145" s="17"/>
      <x:c r="G145" s="18"/>
      <x:c r="H145" s="18"/>
      <x:c r="I145" s="18" t="n">
        <x:v>10.9</x:v>
      </x:c>
      <x:c r="J145" s="18"/>
      <x:c r="K145" s="18"/>
      <x:c r="L145" s="18"/>
      <x:c r="M145" s="18"/>
      <x:c r="N145" s="17"/>
      <x:c r="O145" s="18"/>
      <x:c r="P145" s="18"/>
      <x:c r="Q145" s="18"/>
      <x:c r="R145" s="16" t="str">
        <x:v>A</x:v>
      </x:c>
      <x:c r="S145" s="16" t="str">
        <x:v>https://www.jxxf.gov.cn/xfxxxgk/c101551/202603/90dbd56dc7604765bb1fc64655a6da3c.shtml</x:v>
      </x:c>
      <x:c r="T145" s="16" t="str">
        <x:v>2025统计公报</x:v>
      </x:c>
    </x:row>
    <x:row r="146">
      <x:c r="A146" s="16" t="str">
        <x:v>赣州市</x:v>
      </x:c>
      <x:c r="B146" s="16" t="str">
        <x:v>定南县</x:v>
      </x:c>
      <x:c r="C146" s="17" t="n">
        <x:v>2020</x:v>
      </x:c>
      <x:c r="D146" s="18" t="n">
        <x:v>87.0712</x:v>
      </x:c>
      <x:c r="E146" s="18"/>
      <x:c r="F146" s="17"/>
      <x:c r="G146" s="18"/>
      <x:c r="H146" s="18"/>
      <x:c r="I146" s="18"/>
      <x:c r="J146" s="18"/>
      <x:c r="K146" s="18"/>
      <x:c r="L146" s="18"/>
      <x:c r="M146" s="18" t="n">
        <x:v>73.0939</x:v>
      </x:c>
      <x:c r="N146" s="17"/>
      <x:c r="O146" s="18"/>
      <x:c r="P146" s="18"/>
      <x:c r="Q146" s="18"/>
      <x:c r="R146" s="16" t="str">
        <x:v>A</x:v>
      </x:c>
      <x:c r="S146" s="16" t="str">
        <x:v>https://www.ganzhou.gov.cn/zfxxgk/c100445/202503/b0e046a63c8349efb70d4ae0d7ea98aa/files/6770a9762068466fa33e8ed6e25ecac7.pdf</x:v>
      </x:c>
      <x:c r="T146" s="16" t="str">
        <x:v>赣州统计年鉴2024：住户存款余额，万元换算亿元</x:v>
      </x:c>
    </x:row>
    <x:row r="147">
      <x:c r="A147" s="16" t="str">
        <x:v>赣州市</x:v>
      </x:c>
      <x:c r="B147" s="16" t="str">
        <x:v>定南县</x:v>
      </x:c>
      <x:c r="C147" s="17" t="n">
        <x:v>2021</x:v>
      </x:c>
      <x:c r="D147" s="18"/>
      <x:c r="E147" s="18"/>
      <x:c r="F147" s="17"/>
      <x:c r="G147" s="18"/>
      <x:c r="H147" s="18"/>
      <x:c r="I147" s="18"/>
      <x:c r="J147" s="18"/>
      <x:c r="K147" s="18"/>
      <x:c r="L147" s="18"/>
      <x:c r="M147" s="18" t="n">
        <x:v>82.2973</x:v>
      </x:c>
      <x:c r="N147" s="17"/>
      <x:c r="O147" s="18"/>
      <x:c r="P147" s="18"/>
      <x:c r="Q147" s="18"/>
      <x:c r="R147" s="16" t="str">
        <x:v>A</x:v>
      </x:c>
      <x:c r="S147" s="16" t="str">
        <x:v>https://www.ganzhou.gov.cn/zfxxgk/c100445/202503/b0e046a63c8349efb70d4ae0d7ea98aa/files/6770a9762068466fa33e8ed6e25ecac7.pdf</x:v>
      </x:c>
      <x:c r="T147" s="16" t="str">
        <x:v>赣州统计年鉴2024：住户存款余额，万元换算亿元</x:v>
      </x:c>
    </x:row>
    <x:row r="148">
      <x:c r="A148" s="16" t="str">
        <x:v>赣州市</x:v>
      </x:c>
      <x:c r="B148" s="16" t="str">
        <x:v>定南县</x:v>
      </x:c>
      <x:c r="C148" s="17" t="n">
        <x:v>2022</x:v>
      </x:c>
      <x:c r="D148" s="18"/>
      <x:c r="E148" s="18"/>
      <x:c r="F148" s="17"/>
      <x:c r="G148" s="18"/>
      <x:c r="H148" s="18"/>
      <x:c r="I148" s="18"/>
      <x:c r="J148" s="18"/>
      <x:c r="K148" s="18"/>
      <x:c r="L148" s="18"/>
      <x:c r="M148" s="18" t="n">
        <x:v>97.0578</x:v>
      </x:c>
      <x:c r="N148" s="17"/>
      <x:c r="O148" s="18"/>
      <x:c r="P148" s="18"/>
      <x:c r="Q148" s="18"/>
      <x:c r="R148" s="16" t="str">
        <x:v>A</x:v>
      </x:c>
      <x:c r="S148" s="16" t="str">
        <x:v>https://www.ganzhou.gov.cn/zfxxgk/c100445/202503/b0e046a63c8349efb70d4ae0d7ea98aa/files/6770a9762068466fa33e8ed6e25ecac7.pdf</x:v>
      </x:c>
      <x:c r="T148" s="16" t="str">
        <x:v>赣州统计年鉴2024：住户存款余额，万元换算亿元</x:v>
      </x:c>
    </x:row>
    <x:row r="149">
      <x:c r="A149" s="16" t="str">
        <x:v>赣州市</x:v>
      </x:c>
      <x:c r="B149" s="16" t="str">
        <x:v>定南县</x:v>
      </x:c>
      <x:c r="C149" s="17" t="n">
        <x:v>2023</x:v>
      </x:c>
      <x:c r="D149" s="18" t="n">
        <x:v>110.05</x:v>
      </x:c>
      <x:c r="E149" s="18"/>
      <x:c r="F149" s="17"/>
      <x:c r="G149" s="18"/>
      <x:c r="H149" s="18"/>
      <x:c r="I149" s="18"/>
      <x:c r="J149" s="18"/>
      <x:c r="K149" s="18"/>
      <x:c r="L149" s="18"/>
      <x:c r="M149" s="18" t="n">
        <x:v>111.4355</x:v>
      </x:c>
      <x:c r="N149" s="17"/>
      <x:c r="O149" s="18"/>
      <x:c r="P149" s="18"/>
      <x:c r="Q149" s="18"/>
      <x:c r="R149" s="16" t="str">
        <x:v>A</x:v>
      </x:c>
      <x:c r="S149" s="16" t="str">
        <x:v>https://www.ganzhou.gov.cn/zfxxgk/c100445/202503/b0e046a63c8349efb70d4ae0d7ea98aa/files/6770a9762068466fa33e8ed6e25ecac7.pdf</x:v>
      </x:c>
      <x:c r="T149" s="16" t="str">
        <x:v>赣州统计年鉴2024：住户存款余额，万元换算亿元</x:v>
      </x:c>
    </x:row>
    <x:row r="150">
      <x:c r="A150" s="16" t="str">
        <x:v>赣州市</x:v>
      </x:c>
      <x:c r="B150" s="16" t="str">
        <x:v>定南县</x:v>
      </x:c>
      <x:c r="C150" s="17" t="n">
        <x:v>2024</x:v>
      </x:c>
      <x:c r="D150" s="18"/>
      <x:c r="E150" s="18"/>
      <x:c r="F150" s="17"/>
      <x:c r="G150" s="18"/>
      <x:c r="H150" s="18"/>
      <x:c r="I150" s="18"/>
      <x:c r="J150" s="18"/>
      <x:c r="K150" s="18"/>
      <x:c r="L150" s="18"/>
      <x:c r="M150" s="18"/>
      <x:c r="N150" s="17"/>
      <x:c r="O150" s="18"/>
      <x:c r="P150" s="18"/>
      <x:c r="Q150" s="18"/>
      <x:c r="R150" s="16"/>
      <x:c r="S150" s="16"/>
      <x:c r="T150" s="16"/>
    </x:row>
    <x:row r="151">
      <x:c r="A151" s="16" t="str">
        <x:v>赣州市</x:v>
      </x:c>
      <x:c r="B151" s="16" t="str">
        <x:v>定南县</x:v>
      </x:c>
      <x:c r="C151" s="17" t="n">
        <x:v>2025</x:v>
      </x:c>
      <x:c r="D151" s="18"/>
      <x:c r="E151" s="18"/>
      <x:c r="F151" s="17"/>
      <x:c r="G151" s="18"/>
      <x:c r="H151" s="18"/>
      <x:c r="I151" s="18"/>
      <x:c r="J151" s="18"/>
      <x:c r="K151" s="18"/>
      <x:c r="L151" s="18"/>
      <x:c r="M151" s="18"/>
      <x:c r="N151" s="17"/>
      <x:c r="O151" s="18"/>
      <x:c r="P151" s="18"/>
      <x:c r="Q151" s="18"/>
      <x:c r="R151" s="16"/>
      <x:c r="S151" s="16"/>
      <x:c r="T151" s="16"/>
    </x:row>
    <x:row r="152">
      <x:c r="A152" s="16" t="str">
        <x:v>赣州市</x:v>
      </x:c>
      <x:c r="B152" s="16" t="str">
        <x:v>全南县</x:v>
      </x:c>
      <x:c r="C152" s="17" t="n">
        <x:v>2020</x:v>
      </x:c>
      <x:c r="D152" s="18" t="n">
        <x:v>86.9619</x:v>
      </x:c>
      <x:c r="E152" s="18"/>
      <x:c r="F152" s="17"/>
      <x:c r="G152" s="18"/>
      <x:c r="H152" s="18"/>
      <x:c r="I152" s="18"/>
      <x:c r="J152" s="18"/>
      <x:c r="K152" s="18"/>
      <x:c r="L152" s="18"/>
      <x:c r="M152" s="18" t="n">
        <x:v>72.5656</x:v>
      </x:c>
      <x:c r="N152" s="17"/>
      <x:c r="O152" s="18"/>
      <x:c r="P152" s="18"/>
      <x:c r="Q152" s="18"/>
      <x:c r="R152" s="16" t="str">
        <x:v>A</x:v>
      </x:c>
      <x:c r="S152" s="16" t="str">
        <x:v>https://www.ganzhou.gov.cn/zfxxgk/c100445/202503/b0e046a63c8349efb70d4ae0d7ea98aa/files/6770a9762068466fa33e8ed6e25ecac7.pdf</x:v>
      </x:c>
      <x:c r="T152" s="16" t="str">
        <x:v>赣州统计年鉴2024：住户存款余额，万元换算亿元</x:v>
      </x:c>
    </x:row>
    <x:row r="153">
      <x:c r="A153" s="16" t="str">
        <x:v>赣州市</x:v>
      </x:c>
      <x:c r="B153" s="16" t="str">
        <x:v>全南县</x:v>
      </x:c>
      <x:c r="C153" s="17" t="n">
        <x:v>2021</x:v>
      </x:c>
      <x:c r="D153" s="18"/>
      <x:c r="E153" s="18"/>
      <x:c r="F153" s="17"/>
      <x:c r="G153" s="18"/>
      <x:c r="H153" s="18"/>
      <x:c r="I153" s="18"/>
      <x:c r="J153" s="18"/>
      <x:c r="K153" s="18"/>
      <x:c r="L153" s="18"/>
      <x:c r="M153" s="18" t="n">
        <x:v>80.11</x:v>
      </x:c>
      <x:c r="N153" s="17"/>
      <x:c r="O153" s="18"/>
      <x:c r="P153" s="18"/>
      <x:c r="Q153" s="18"/>
      <x:c r="R153" s="16" t="str">
        <x:v>A</x:v>
      </x:c>
      <x:c r="S153" s="16" t="str">
        <x:v>https://www.ganzhou.gov.cn/zfxxgk/c100445/202503/b0e046a63c8349efb70d4ae0d7ea98aa/files/6770a9762068466fa33e8ed6e25ecac7.pdf</x:v>
      </x:c>
      <x:c r="T153" s="16" t="str">
        <x:v>赣州统计年鉴2024：住户存款余额，万元换算亿元</x:v>
      </x:c>
    </x:row>
    <x:row r="154">
      <x:c r="A154" s="16" t="str">
        <x:v>赣州市</x:v>
      </x:c>
      <x:c r="B154" s="16" t="str">
        <x:v>全南县</x:v>
      </x:c>
      <x:c r="C154" s="17" t="n">
        <x:v>2022</x:v>
      </x:c>
      <x:c r="D154" s="18"/>
      <x:c r="E154" s="18"/>
      <x:c r="F154" s="17"/>
      <x:c r="G154" s="18"/>
      <x:c r="H154" s="18"/>
      <x:c r="I154" s="18"/>
      <x:c r="J154" s="18"/>
      <x:c r="K154" s="18"/>
      <x:c r="L154" s="18"/>
      <x:c r="M154" s="18" t="n">
        <x:v>92.1835</x:v>
      </x:c>
      <x:c r="N154" s="17"/>
      <x:c r="O154" s="18"/>
      <x:c r="P154" s="18"/>
      <x:c r="Q154" s="18"/>
      <x:c r="R154" s="16" t="str">
        <x:v>A</x:v>
      </x:c>
      <x:c r="S154" s="16" t="str">
        <x:v>https://www.ganzhou.gov.cn/zfxxgk/c100445/202503/b0e046a63c8349efb70d4ae0d7ea98aa/files/6770a9762068466fa33e8ed6e25ecac7.pdf</x:v>
      </x:c>
      <x:c r="T154" s="16" t="str">
        <x:v>赣州统计年鉴2024：住户存款余额，万元换算亿元</x:v>
      </x:c>
    </x:row>
    <x:row r="155">
      <x:c r="A155" s="16" t="str">
        <x:v>赣州市</x:v>
      </x:c>
      <x:c r="B155" s="16" t="str">
        <x:v>全南县</x:v>
      </x:c>
      <x:c r="C155" s="17" t="n">
        <x:v>2023</x:v>
      </x:c>
      <x:c r="D155" s="18" t="n">
        <x:v>112.73</x:v>
      </x:c>
      <x:c r="E155" s="18"/>
      <x:c r="F155" s="17"/>
      <x:c r="G155" s="18"/>
      <x:c r="H155" s="18"/>
      <x:c r="I155" s="18"/>
      <x:c r="J155" s="18"/>
      <x:c r="K155" s="18"/>
      <x:c r="L155" s="18"/>
      <x:c r="M155" s="18" t="n">
        <x:v>103.014</x:v>
      </x:c>
      <x:c r="N155" s="17"/>
      <x:c r="O155" s="18"/>
      <x:c r="P155" s="18"/>
      <x:c r="Q155" s="18"/>
      <x:c r="R155" s="16" t="str">
        <x:v>A</x:v>
      </x:c>
      <x:c r="S155" s="16" t="str">
        <x:v>https://www.ganzhou.gov.cn/zfxxgk/c100445/202503/b0e046a63c8349efb70d4ae0d7ea98aa/files/6770a9762068466fa33e8ed6e25ecac7.pdf</x:v>
      </x:c>
      <x:c r="T155" s="16" t="str">
        <x:v>赣州统计年鉴2024：住户存款余额，万元换算亿元</x:v>
      </x:c>
    </x:row>
    <x:row r="156">
      <x:c r="A156" s="16" t="str">
        <x:v>赣州市</x:v>
      </x:c>
      <x:c r="B156" s="16" t="str">
        <x:v>全南县</x:v>
      </x:c>
      <x:c r="C156" s="17" t="n">
        <x:v>2024</x:v>
      </x:c>
      <x:c r="D156" s="18"/>
      <x:c r="E156" s="18"/>
      <x:c r="F156" s="17"/>
      <x:c r="G156" s="18"/>
      <x:c r="H156" s="18"/>
      <x:c r="I156" s="18"/>
      <x:c r="J156" s="18"/>
      <x:c r="K156" s="18"/>
      <x:c r="L156" s="18"/>
      <x:c r="M156" s="18"/>
      <x:c r="N156" s="17"/>
      <x:c r="O156" s="18"/>
      <x:c r="P156" s="18"/>
      <x:c r="Q156" s="18"/>
      <x:c r="R156" s="16"/>
      <x:c r="S156" s="16"/>
      <x:c r="T156" s="16"/>
    </x:row>
    <x:row r="157">
      <x:c r="A157" s="16" t="str">
        <x:v>赣州市</x:v>
      </x:c>
      <x:c r="B157" s="16" t="str">
        <x:v>全南县</x:v>
      </x:c>
      <x:c r="C157" s="17" t="n">
        <x:v>2025</x:v>
      </x:c>
      <x:c r="D157" s="18"/>
      <x:c r="E157" s="18"/>
      <x:c r="F157" s="17"/>
      <x:c r="G157" s="18"/>
      <x:c r="H157" s="18"/>
      <x:c r="I157" s="18"/>
      <x:c r="J157" s="18"/>
      <x:c r="K157" s="18"/>
      <x:c r="L157" s="18"/>
      <x:c r="M157" s="18"/>
      <x:c r="N157" s="17"/>
      <x:c r="O157" s="18"/>
      <x:c r="P157" s="18"/>
      <x:c r="Q157" s="18"/>
      <x:c r="R157" s="16"/>
      <x:c r="S157" s="16"/>
      <x:c r="T157" s="16"/>
    </x:row>
    <x:row r="158">
      <x:c r="A158" s="16" t="str">
        <x:v>赣州市</x:v>
      </x:c>
      <x:c r="B158" s="16" t="str">
        <x:v>安远县</x:v>
      </x:c>
      <x:c r="C158" s="17" t="n">
        <x:v>2020</x:v>
      </x:c>
      <x:c r="D158" s="18"/>
      <x:c r="E158" s="18"/>
      <x:c r="F158" s="17"/>
      <x:c r="G158" s="18"/>
      <x:c r="H158" s="18"/>
      <x:c r="I158" s="18"/>
      <x:c r="J158" s="18"/>
      <x:c r="K158" s="18"/>
      <x:c r="L158" s="18"/>
      <x:c r="M158" s="18" t="n">
        <x:v>105.8494</x:v>
      </x:c>
      <x:c r="N158" s="17"/>
      <x:c r="O158" s="18"/>
      <x:c r="P158" s="18"/>
      <x:c r="Q158" s="18"/>
      <x:c r="R158" s="16" t="str">
        <x:v>A</x:v>
      </x:c>
      <x:c r="S158" s="16" t="str">
        <x:v>https://www.ganzhou.gov.cn/zfxxgk/c100445/202503/b0e046a63c8349efb70d4ae0d7ea98aa/files/6770a9762068466fa33e8ed6e25ecac7.pdf</x:v>
      </x:c>
      <x:c r="T158" s="16" t="str">
        <x:v>赣州统计年鉴2024：住户存款余额，万元换算亿元</x:v>
      </x:c>
    </x:row>
    <x:row r="159">
      <x:c r="A159" s="16" t="str">
        <x:v>赣州市</x:v>
      </x:c>
      <x:c r="B159" s="16" t="str">
        <x:v>安远县</x:v>
      </x:c>
      <x:c r="C159" s="17" t="n">
        <x:v>2021</x:v>
      </x:c>
      <x:c r="D159" s="18"/>
      <x:c r="E159" s="18"/>
      <x:c r="F159" s="17"/>
      <x:c r="G159" s="18"/>
      <x:c r="H159" s="18"/>
      <x:c r="I159" s="18"/>
      <x:c r="J159" s="18"/>
      <x:c r="K159" s="18"/>
      <x:c r="L159" s="18"/>
      <x:c r="M159" s="18" t="n">
        <x:v>117.5818</x:v>
      </x:c>
      <x:c r="N159" s="17"/>
      <x:c r="O159" s="18"/>
      <x:c r="P159" s="18"/>
      <x:c r="Q159" s="18"/>
      <x:c r="R159" s="16" t="str">
        <x:v>A</x:v>
      </x:c>
      <x:c r="S159" s="16" t="str">
        <x:v>https://www.ganzhou.gov.cn/zfxxgk/c100445/202503/b0e046a63c8349efb70d4ae0d7ea98aa/files/6770a9762068466fa33e8ed6e25ecac7.pdf</x:v>
      </x:c>
      <x:c r="T159" s="16" t="str">
        <x:v>赣州统计年鉴2024：住户存款余额，万元换算亿元</x:v>
      </x:c>
    </x:row>
    <x:row r="160">
      <x:c r="A160" s="16" t="str">
        <x:v>赣州市</x:v>
      </x:c>
      <x:c r="B160" s="16" t="str">
        <x:v>安远县</x:v>
      </x:c>
      <x:c r="C160" s="17" t="n">
        <x:v>2022</x:v>
      </x:c>
      <x:c r="D160" s="18" t="n">
        <x:v>110.96</x:v>
      </x:c>
      <x:c r="E160" s="18"/>
      <x:c r="F160" s="17"/>
      <x:c r="G160" s="18"/>
      <x:c r="H160" s="18"/>
      <x:c r="I160" s="18"/>
      <x:c r="J160" s="18"/>
      <x:c r="K160" s="18"/>
      <x:c r="L160" s="18"/>
      <x:c r="M160" s="18" t="n">
        <x:v>136.2571</x:v>
      </x:c>
      <x:c r="N160" s="17"/>
      <x:c r="O160" s="18"/>
      <x:c r="P160" s="18"/>
      <x:c r="Q160" s="18"/>
      <x:c r="R160" s="16" t="str">
        <x:v>A</x:v>
      </x:c>
      <x:c r="S160" s="16" t="str">
        <x:v>https://www.ganzhou.gov.cn/zfxxgk/c100445/202503/b0e046a63c8349efb70d4ae0d7ea98aa/files/6770a9762068466fa33e8ed6e25ecac7.pdf</x:v>
      </x:c>
      <x:c r="T160" s="16" t="str">
        <x:v>赣州统计年鉴2024：住户存款余额，万元换算亿元</x:v>
      </x:c>
    </x:row>
    <x:row r="161">
      <x:c r="A161" s="16" t="str">
        <x:v>赣州市</x:v>
      </x:c>
      <x:c r="B161" s="16" t="str">
        <x:v>安远县</x:v>
      </x:c>
      <x:c r="C161" s="17" t="n">
        <x:v>2023</x:v>
      </x:c>
      <x:c r="D161" s="18" t="n">
        <x:v>114.42</x:v>
      </x:c>
      <x:c r="E161" s="18"/>
      <x:c r="F161" s="17"/>
      <x:c r="G161" s="18"/>
      <x:c r="H161" s="18"/>
      <x:c r="I161" s="18"/>
      <x:c r="J161" s="18"/>
      <x:c r="K161" s="18"/>
      <x:c r="L161" s="18"/>
      <x:c r="M161" s="18" t="n">
        <x:v>154.5266</x:v>
      </x:c>
      <x:c r="N161" s="17"/>
      <x:c r="O161" s="18"/>
      <x:c r="P161" s="18"/>
      <x:c r="Q161" s="18"/>
      <x:c r="R161" s="16" t="str">
        <x:v>A</x:v>
      </x:c>
      <x:c r="S161" s="16" t="str">
        <x:v>https://www.ganzhou.gov.cn/zfxxgk/c100445/202503/b0e046a63c8349efb70d4ae0d7ea98aa/files/6770a9762068466fa33e8ed6e25ecac7.pdf</x:v>
      </x:c>
      <x:c r="T161" s="16" t="str">
        <x:v>赣州统计年鉴2024：住户存款余额，万元换算亿元</x:v>
      </x:c>
    </x:row>
    <x:row r="162">
      <x:c r="A162" s="16" t="str">
        <x:v>赣州市</x:v>
      </x:c>
      <x:c r="B162" s="16" t="str">
        <x:v>安远县</x:v>
      </x:c>
      <x:c r="C162" s="17" t="n">
        <x:v>2024</x:v>
      </x:c>
      <x:c r="D162" s="18"/>
      <x:c r="E162" s="18"/>
      <x:c r="F162" s="17"/>
      <x:c r="G162" s="18"/>
      <x:c r="H162" s="18"/>
      <x:c r="I162" s="18"/>
      <x:c r="J162" s="18"/>
      <x:c r="K162" s="18"/>
      <x:c r="L162" s="18"/>
      <x:c r="M162" s="18"/>
      <x:c r="N162" s="17"/>
      <x:c r="O162" s="18"/>
      <x:c r="P162" s="18"/>
      <x:c r="Q162" s="18"/>
      <x:c r="R162" s="16"/>
      <x:c r="S162" s="16"/>
      <x:c r="T162" s="16"/>
    </x:row>
    <x:row r="163">
      <x:c r="A163" s="16" t="str">
        <x:v>赣州市</x:v>
      </x:c>
      <x:c r="B163" s="16" t="str">
        <x:v>安远县</x:v>
      </x:c>
      <x:c r="C163" s="17" t="n">
        <x:v>2025</x:v>
      </x:c>
      <x:c r="D163" s="18"/>
      <x:c r="E163" s="18"/>
      <x:c r="F163" s="17"/>
      <x:c r="G163" s="18"/>
      <x:c r="H163" s="18"/>
      <x:c r="I163" s="18"/>
      <x:c r="J163" s="18"/>
      <x:c r="K163" s="18"/>
      <x:c r="L163" s="18"/>
      <x:c r="M163" s="18"/>
      <x:c r="N163" s="17"/>
      <x:c r="O163" s="18"/>
      <x:c r="P163" s="18"/>
      <x:c r="Q163" s="18"/>
      <x:c r="R163" s="16"/>
      <x:c r="S163" s="16"/>
      <x:c r="T163" s="16"/>
    </x:row>
    <x:row r="164">
      <x:c r="A164" s="16" t="str">
        <x:v>赣州市</x:v>
      </x:c>
      <x:c r="B164" s="16" t="str">
        <x:v>宁都县</x:v>
      </x:c>
      <x:c r="C164" s="17" t="n">
        <x:v>2020</x:v>
      </x:c>
      <x:c r="D164" s="18"/>
      <x:c r="E164" s="18"/>
      <x:c r="F164" s="17"/>
      <x:c r="G164" s="18"/>
      <x:c r="H164" s="18"/>
      <x:c r="I164" s="18"/>
      <x:c r="J164" s="18"/>
      <x:c r="K164" s="18"/>
      <x:c r="L164" s="18"/>
      <x:c r="M164" s="18" t="n">
        <x:v>287.8688</x:v>
      </x:c>
      <x:c r="N164" s="17"/>
      <x:c r="O164" s="18"/>
      <x:c r="P164" s="18"/>
      <x:c r="Q164" s="18"/>
      <x:c r="R164" s="16" t="str">
        <x:v>A</x:v>
      </x:c>
      <x:c r="S164" s="16" t="str">
        <x:v>https://www.ganzhou.gov.cn/zfxxgk/c100445/202503/b0e046a63c8349efb70d4ae0d7ea98aa/files/6770a9762068466fa33e8ed6e25ecac7.pdf</x:v>
      </x:c>
      <x:c r="T164" s="16" t="str">
        <x:v>赣州统计年鉴2024：住户存款余额，万元换算亿元</x:v>
      </x:c>
    </x:row>
    <x:row r="165">
      <x:c r="A165" s="16" t="str">
        <x:v>赣州市</x:v>
      </x:c>
      <x:c r="B165" s="16" t="str">
        <x:v>宁都县</x:v>
      </x:c>
      <x:c r="C165" s="17" t="n">
        <x:v>2021</x:v>
      </x:c>
      <x:c r="D165" s="18"/>
      <x:c r="E165" s="18"/>
      <x:c r="F165" s="17"/>
      <x:c r="G165" s="18"/>
      <x:c r="H165" s="18"/>
      <x:c r="I165" s="18"/>
      <x:c r="J165" s="18"/>
      <x:c r="K165" s="18"/>
      <x:c r="L165" s="18"/>
      <x:c r="M165" s="18" t="n">
        <x:v>324.9766</x:v>
      </x:c>
      <x:c r="N165" s="17"/>
      <x:c r="O165" s="18"/>
      <x:c r="P165" s="18"/>
      <x:c r="Q165" s="18"/>
      <x:c r="R165" s="16" t="str">
        <x:v>A</x:v>
      </x:c>
      <x:c r="S165" s="16" t="str">
        <x:v>https://www.ganzhou.gov.cn/zfxxgk/c100445/202503/b0e046a63c8349efb70d4ae0d7ea98aa/files/6770a9762068466fa33e8ed6e25ecac7.pdf</x:v>
      </x:c>
      <x:c r="T165" s="16" t="str">
        <x:v>赣州统计年鉴2024：住户存款余额，万元换算亿元</x:v>
      </x:c>
    </x:row>
    <x:row r="166">
      <x:c r="A166" s="16" t="str">
        <x:v>赣州市</x:v>
      </x:c>
      <x:c r="B166" s="16" t="str">
        <x:v>宁都县</x:v>
      </x:c>
      <x:c r="C166" s="17" t="n">
        <x:v>2022</x:v>
      </x:c>
      <x:c r="D166" s="18"/>
      <x:c r="E166" s="18"/>
      <x:c r="F166" s="17"/>
      <x:c r="G166" s="18"/>
      <x:c r="H166" s="18"/>
      <x:c r="I166" s="18"/>
      <x:c r="J166" s="18"/>
      <x:c r="K166" s="18"/>
      <x:c r="L166" s="18"/>
      <x:c r="M166" s="18" t="n">
        <x:v>373.6298</x:v>
      </x:c>
      <x:c r="N166" s="17"/>
      <x:c r="O166" s="18"/>
      <x:c r="P166" s="18"/>
      <x:c r="Q166" s="18"/>
      <x:c r="R166" s="16" t="str">
        <x:v>A</x:v>
      </x:c>
      <x:c r="S166" s="16" t="str">
        <x:v>https://www.ganzhou.gov.cn/zfxxgk/c100445/202503/b0e046a63c8349efb70d4ae0d7ea98aa/files/6770a9762068466fa33e8ed6e25ecac7.pdf</x:v>
      </x:c>
      <x:c r="T166" s="16" t="str">
        <x:v>赣州统计年鉴2024：住户存款余额，万元换算亿元</x:v>
      </x:c>
    </x:row>
    <x:row r="167">
      <x:c r="A167" s="16" t="str">
        <x:v>赣州市</x:v>
      </x:c>
      <x:c r="B167" s="16" t="str">
        <x:v>宁都县</x:v>
      </x:c>
      <x:c r="C167" s="17" t="n">
        <x:v>2023</x:v>
      </x:c>
      <x:c r="D167" s="18" t="n">
        <x:v>270</x:v>
      </x:c>
      <x:c r="E167" s="18"/>
      <x:c r="F167" s="17"/>
      <x:c r="G167" s="18"/>
      <x:c r="H167" s="18"/>
      <x:c r="I167" s="18"/>
      <x:c r="J167" s="18"/>
      <x:c r="K167" s="18"/>
      <x:c r="L167" s="18"/>
      <x:c r="M167" s="18" t="n">
        <x:v>426.6982</x:v>
      </x:c>
      <x:c r="N167" s="17"/>
      <x:c r="O167" s="18"/>
      <x:c r="P167" s="18"/>
      <x:c r="Q167" s="18"/>
      <x:c r="R167" s="16" t="str">
        <x:v>A</x:v>
      </x:c>
      <x:c r="S167" s="16" t="str">
        <x:v>https://www.ganzhou.gov.cn/zfxxgk/c100445/202503/b0e046a63c8349efb70d4ae0d7ea98aa/files/6770a9762068466fa33e8ed6e25ecac7.pdf</x:v>
      </x:c>
      <x:c r="T167" s="16" t="str">
        <x:v>赣州统计年鉴2024：住户存款余额，万元换算亿元</x:v>
      </x:c>
    </x:row>
    <x:row r="168">
      <x:c r="A168" s="16" t="str">
        <x:v>赣州市</x:v>
      </x:c>
      <x:c r="B168" s="16" t="str">
        <x:v>宁都县</x:v>
      </x:c>
      <x:c r="C168" s="17" t="n">
        <x:v>2024</x:v>
      </x:c>
      <x:c r="D168" s="18"/>
      <x:c r="E168" s="18"/>
      <x:c r="F168" s="17"/>
      <x:c r="G168" s="18"/>
      <x:c r="H168" s="18"/>
      <x:c r="I168" s="18"/>
      <x:c r="J168" s="18"/>
      <x:c r="K168" s="18"/>
      <x:c r="L168" s="18"/>
      <x:c r="M168" s="18"/>
      <x:c r="N168" s="17"/>
      <x:c r="O168" s="18"/>
      <x:c r="P168" s="18"/>
      <x:c r="Q168" s="18"/>
      <x:c r="R168" s="16"/>
      <x:c r="S168" s="16"/>
      <x:c r="T168" s="16"/>
    </x:row>
    <x:row r="169">
      <x:c r="A169" s="16" t="str">
        <x:v>赣州市</x:v>
      </x:c>
      <x:c r="B169" s="16" t="str">
        <x:v>宁都县</x:v>
      </x:c>
      <x:c r="C169" s="17" t="n">
        <x:v>2025</x:v>
      </x:c>
      <x:c r="D169" s="18"/>
      <x:c r="E169" s="18"/>
      <x:c r="F169" s="17"/>
      <x:c r="G169" s="18"/>
      <x:c r="H169" s="18"/>
      <x:c r="I169" s="18"/>
      <x:c r="J169" s="18"/>
      <x:c r="K169" s="18"/>
      <x:c r="L169" s="18"/>
      <x:c r="M169" s="18"/>
      <x:c r="N169" s="17"/>
      <x:c r="O169" s="18"/>
      <x:c r="P169" s="18"/>
      <x:c r="Q169" s="18"/>
      <x:c r="R169" s="16"/>
      <x:c r="S169" s="16"/>
      <x:c r="T169" s="16"/>
    </x:row>
    <x:row r="170">
      <x:c r="A170" s="16" t="str">
        <x:v>赣州市</x:v>
      </x:c>
      <x:c r="B170" s="16" t="str">
        <x:v>于都县</x:v>
      </x:c>
      <x:c r="C170" s="17" t="n">
        <x:v>2020</x:v>
      </x:c>
      <x:c r="D170" s="18" t="n">
        <x:v>279.4</x:v>
      </x:c>
      <x:c r="E170" s="18"/>
      <x:c r="F170" s="17"/>
      <x:c r="G170" s="18"/>
      <x:c r="H170" s="18"/>
      <x:c r="I170" s="18"/>
      <x:c r="J170" s="18"/>
      <x:c r="K170" s="18"/>
      <x:c r="L170" s="18"/>
      <x:c r="M170" s="18" t="n">
        <x:v>308.2575</x:v>
      </x:c>
      <x:c r="N170" s="17"/>
      <x:c r="O170" s="18"/>
      <x:c r="P170" s="18"/>
      <x:c r="Q170" s="18"/>
      <x:c r="R170" s="16" t="str">
        <x:v>A</x:v>
      </x:c>
      <x:c r="S170" s="16" t="str">
        <x:v>https://www.ganzhou.gov.cn/zfxxgk/c100445/202503/b0e046a63c8349efb70d4ae0d7ea98aa/files/6770a9762068466fa33e8ed6e25ecac7.pdf</x:v>
      </x:c>
      <x:c r="T170" s="16" t="str">
        <x:v>赣州统计年鉴2024：住户存款余额，万元换算亿元</x:v>
      </x:c>
    </x:row>
    <x:row r="171">
      <x:c r="A171" s="16" t="str">
        <x:v>赣州市</x:v>
      </x:c>
      <x:c r="B171" s="16" t="str">
        <x:v>于都县</x:v>
      </x:c>
      <x:c r="C171" s="17" t="n">
        <x:v>2021</x:v>
      </x:c>
      <x:c r="D171" s="18" t="n">
        <x:v>318.06</x:v>
      </x:c>
      <x:c r="E171" s="18"/>
      <x:c r="F171" s="17"/>
      <x:c r="G171" s="18"/>
      <x:c r="H171" s="18"/>
      <x:c r="I171" s="18"/>
      <x:c r="J171" s="18"/>
      <x:c r="K171" s="18"/>
      <x:c r="L171" s="18"/>
      <x:c r="M171" s="18" t="n">
        <x:v>349.1325</x:v>
      </x:c>
      <x:c r="N171" s="17"/>
      <x:c r="O171" s="18"/>
      <x:c r="P171" s="18"/>
      <x:c r="Q171" s="18"/>
      <x:c r="R171" s="16" t="str">
        <x:v>A</x:v>
      </x:c>
      <x:c r="S171" s="16" t="str">
        <x:v>https://www.ganzhou.gov.cn/zfxxgk/c100445/202503/b0e046a63c8349efb70d4ae0d7ea98aa/files/6770a9762068466fa33e8ed6e25ecac7.pdf</x:v>
      </x:c>
      <x:c r="T171" s="16" t="str">
        <x:v>赣州统计年鉴2024：住户存款余额，万元换算亿元</x:v>
      </x:c>
    </x:row>
    <x:row r="172">
      <x:c r="A172" s="16" t="str">
        <x:v>赣州市</x:v>
      </x:c>
      <x:c r="B172" s="16" t="str">
        <x:v>于都县</x:v>
      </x:c>
      <x:c r="C172" s="17" t="n">
        <x:v>2022</x:v>
      </x:c>
      <x:c r="D172" s="18"/>
      <x:c r="E172" s="18"/>
      <x:c r="F172" s="17"/>
      <x:c r="G172" s="18"/>
      <x:c r="H172" s="18"/>
      <x:c r="I172" s="18"/>
      <x:c r="J172" s="18"/>
      <x:c r="K172" s="18"/>
      <x:c r="L172" s="18"/>
      <x:c r="M172" s="18" t="n">
        <x:v>402.5198</x:v>
      </x:c>
      <x:c r="N172" s="17"/>
      <x:c r="O172" s="18"/>
      <x:c r="P172" s="18"/>
      <x:c r="Q172" s="18"/>
      <x:c r="R172" s="16" t="str">
        <x:v>A</x:v>
      </x:c>
      <x:c r="S172" s="16" t="str">
        <x:v>https://www.ganzhou.gov.cn/zfxxgk/c100445/202503/b0e046a63c8349efb70d4ae0d7ea98aa/files/6770a9762068466fa33e8ed6e25ecac7.pdf</x:v>
      </x:c>
      <x:c r="T172" s="16" t="str">
        <x:v>赣州统计年鉴2024：住户存款余额，万元换算亿元</x:v>
      </x:c>
    </x:row>
    <x:row r="173">
      <x:c r="A173" s="16" t="str">
        <x:v>赣州市</x:v>
      </x:c>
      <x:c r="B173" s="16" t="str">
        <x:v>于都县</x:v>
      </x:c>
      <x:c r="C173" s="17" t="n">
        <x:v>2023</x:v>
      </x:c>
      <x:c r="D173" s="18" t="n">
        <x:v>348.06</x:v>
      </x:c>
      <x:c r="E173" s="18"/>
      <x:c r="F173" s="17"/>
      <x:c r="G173" s="18"/>
      <x:c r="H173" s="18"/>
      <x:c r="I173" s="18"/>
      <x:c r="J173" s="18"/>
      <x:c r="K173" s="18"/>
      <x:c r="L173" s="18"/>
      <x:c r="M173" s="18" t="n">
        <x:v>454.2351</x:v>
      </x:c>
      <x:c r="N173" s="17"/>
      <x:c r="O173" s="18"/>
      <x:c r="P173" s="18"/>
      <x:c r="Q173" s="18"/>
      <x:c r="R173" s="16" t="str">
        <x:v>A</x:v>
      </x:c>
      <x:c r="S173" s="16" t="str">
        <x:v>https://www.ganzhou.gov.cn/zfxxgk/c100445/202503/b0e046a63c8349efb70d4ae0d7ea98aa/files/6770a9762068466fa33e8ed6e25ecac7.pdf</x:v>
      </x:c>
      <x:c r="T173" s="16" t="str">
        <x:v>赣州统计年鉴2024：住户存款余额，万元换算亿元</x:v>
      </x:c>
    </x:row>
    <x:row r="174">
      <x:c r="A174" s="16" t="str">
        <x:v>赣州市</x:v>
      </x:c>
      <x:c r="B174" s="16" t="str">
        <x:v>于都县</x:v>
      </x:c>
      <x:c r="C174" s="17" t="n">
        <x:v>2024</x:v>
      </x:c>
      <x:c r="D174" s="18"/>
      <x:c r="E174" s="18"/>
      <x:c r="F174" s="17"/>
      <x:c r="G174" s="18"/>
      <x:c r="H174" s="18"/>
      <x:c r="I174" s="18"/>
      <x:c r="J174" s="18"/>
      <x:c r="K174" s="18"/>
      <x:c r="L174" s="18"/>
      <x:c r="M174" s="18"/>
      <x:c r="N174" s="17"/>
      <x:c r="O174" s="18"/>
      <x:c r="P174" s="18"/>
      <x:c r="Q174" s="18"/>
      <x:c r="R174" s="16"/>
      <x:c r="S174" s="16"/>
      <x:c r="T174" s="16"/>
    </x:row>
    <x:row r="175">
      <x:c r="A175" s="16" t="str">
        <x:v>赣州市</x:v>
      </x:c>
      <x:c r="B175" s="16" t="str">
        <x:v>于都县</x:v>
      </x:c>
      <x:c r="C175" s="17" t="n">
        <x:v>2025</x:v>
      </x:c>
      <x:c r="D175" s="18"/>
      <x:c r="E175" s="18"/>
      <x:c r="F175" s="17"/>
      <x:c r="G175" s="18"/>
      <x:c r="H175" s="18"/>
      <x:c r="I175" s="18"/>
      <x:c r="J175" s="18"/>
      <x:c r="K175" s="18"/>
      <x:c r="L175" s="18"/>
      <x:c r="M175" s="18"/>
      <x:c r="N175" s="17"/>
      <x:c r="O175" s="18"/>
      <x:c r="P175" s="18"/>
      <x:c r="Q175" s="18"/>
      <x:c r="R175" s="16"/>
      <x:c r="S175" s="16"/>
      <x:c r="T175" s="16"/>
    </x:row>
    <x:row r="176">
      <x:c r="A176" s="16" t="str">
        <x:v>赣州市</x:v>
      </x:c>
      <x:c r="B176" s="16" t="str">
        <x:v>兴国县</x:v>
      </x:c>
      <x:c r="C176" s="17" t="n">
        <x:v>2020</x:v>
      </x:c>
      <x:c r="D176" s="18"/>
      <x:c r="E176" s="18"/>
      <x:c r="F176" s="17"/>
      <x:c r="G176" s="18"/>
      <x:c r="H176" s="18"/>
      <x:c r="I176" s="18"/>
      <x:c r="J176" s="18"/>
      <x:c r="K176" s="18"/>
      <x:c r="L176" s="18"/>
      <x:c r="M176" s="18" t="n">
        <x:v>245.7483</x:v>
      </x:c>
      <x:c r="N176" s="17"/>
      <x:c r="O176" s="18"/>
      <x:c r="P176" s="18"/>
      <x:c r="Q176" s="18"/>
      <x:c r="R176" s="16" t="str">
        <x:v>A</x:v>
      </x:c>
      <x:c r="S176" s="16" t="str">
        <x:v>https://www.ganzhou.gov.cn/zfxxgk/c100445/202503/b0e046a63c8349efb70d4ae0d7ea98aa/files/6770a9762068466fa33e8ed6e25ecac7.pdf</x:v>
      </x:c>
      <x:c r="T176" s="16" t="str">
        <x:v>赣州统计年鉴2024：住户存款余额，万元换算亿元</x:v>
      </x:c>
    </x:row>
    <x:row r="177">
      <x:c r="A177" s="16" t="str">
        <x:v>赣州市</x:v>
      </x:c>
      <x:c r="B177" s="16" t="str">
        <x:v>兴国县</x:v>
      </x:c>
      <x:c r="C177" s="17" t="n">
        <x:v>2021</x:v>
      </x:c>
      <x:c r="D177" s="18"/>
      <x:c r="E177" s="18"/>
      <x:c r="F177" s="17"/>
      <x:c r="G177" s="18"/>
      <x:c r="H177" s="18"/>
      <x:c r="I177" s="18"/>
      <x:c r="J177" s="18"/>
      <x:c r="K177" s="18"/>
      <x:c r="L177" s="18"/>
      <x:c r="M177" s="18" t="n">
        <x:v>274.6061</x:v>
      </x:c>
      <x:c r="N177" s="17"/>
      <x:c r="O177" s="18"/>
      <x:c r="P177" s="18"/>
      <x:c r="Q177" s="18"/>
      <x:c r="R177" s="16" t="str">
        <x:v>A</x:v>
      </x:c>
      <x:c r="S177" s="16" t="str">
        <x:v>https://www.ganzhou.gov.cn/zfxxgk/c100445/202503/b0e046a63c8349efb70d4ae0d7ea98aa/files/6770a9762068466fa33e8ed6e25ecac7.pdf</x:v>
      </x:c>
      <x:c r="T177" s="16" t="str">
        <x:v>赣州统计年鉴2024：住户存款余额，万元换算亿元</x:v>
      </x:c>
    </x:row>
    <x:row r="178">
      <x:c r="A178" s="16" t="str">
        <x:v>赣州市</x:v>
      </x:c>
      <x:c r="B178" s="16" t="str">
        <x:v>兴国县</x:v>
      </x:c>
      <x:c r="C178" s="17" t="n">
        <x:v>2022</x:v>
      </x:c>
      <x:c r="D178" s="18"/>
      <x:c r="E178" s="18"/>
      <x:c r="F178" s="17"/>
      <x:c r="G178" s="18"/>
      <x:c r="H178" s="18"/>
      <x:c r="I178" s="18"/>
      <x:c r="J178" s="18"/>
      <x:c r="K178" s="18"/>
      <x:c r="L178" s="18"/>
      <x:c r="M178" s="18" t="n">
        <x:v>314.0009</x:v>
      </x:c>
      <x:c r="N178" s="17"/>
      <x:c r="O178" s="18"/>
      <x:c r="P178" s="18"/>
      <x:c r="Q178" s="18"/>
      <x:c r="R178" s="16" t="str">
        <x:v>A</x:v>
      </x:c>
      <x:c r="S178" s="16" t="str">
        <x:v>https://www.ganzhou.gov.cn/zfxxgk/c100445/202503/b0e046a63c8349efb70d4ae0d7ea98aa/files/6770a9762068466fa33e8ed6e25ecac7.pdf</x:v>
      </x:c>
      <x:c r="T178" s="16" t="str">
        <x:v>赣州统计年鉴2024：住户存款余额，万元换算亿元</x:v>
      </x:c>
    </x:row>
    <x:row r="179">
      <x:c r="A179" s="16" t="str">
        <x:v>赣州市</x:v>
      </x:c>
      <x:c r="B179" s="16" t="str">
        <x:v>兴国县</x:v>
      </x:c>
      <x:c r="C179" s="17" t="n">
        <x:v>2023</x:v>
      </x:c>
      <x:c r="D179" s="18" t="n">
        <x:v>251.55</x:v>
      </x:c>
      <x:c r="E179" s="18"/>
      <x:c r="F179" s="17"/>
      <x:c r="G179" s="18"/>
      <x:c r="H179" s="18"/>
      <x:c r="I179" s="18"/>
      <x:c r="J179" s="18"/>
      <x:c r="K179" s="18"/>
      <x:c r="L179" s="18"/>
      <x:c r="M179" s="18" t="n">
        <x:v>356.5794</x:v>
      </x:c>
      <x:c r="N179" s="17"/>
      <x:c r="O179" s="18"/>
      <x:c r="P179" s="18"/>
      <x:c r="Q179" s="18"/>
      <x:c r="R179" s="16" t="str">
        <x:v>A</x:v>
      </x:c>
      <x:c r="S179" s="16" t="str">
        <x:v>https://www.ganzhou.gov.cn/zfxxgk/c100445/202503/b0e046a63c8349efb70d4ae0d7ea98aa/files/6770a9762068466fa33e8ed6e25ecac7.pdf</x:v>
      </x:c>
      <x:c r="T179" s="16" t="str">
        <x:v>赣州统计年鉴2024：住户存款余额，万元换算亿元</x:v>
      </x:c>
    </x:row>
    <x:row r="180">
      <x:c r="A180" s="16" t="str">
        <x:v>赣州市</x:v>
      </x:c>
      <x:c r="B180" s="16" t="str">
        <x:v>兴国县</x:v>
      </x:c>
      <x:c r="C180" s="17" t="n">
        <x:v>2024</x:v>
      </x:c>
      <x:c r="D180" s="18"/>
      <x:c r="E180" s="18"/>
      <x:c r="F180" s="17"/>
      <x:c r="G180" s="18"/>
      <x:c r="H180" s="18"/>
      <x:c r="I180" s="18"/>
      <x:c r="J180" s="18"/>
      <x:c r="K180" s="18"/>
      <x:c r="L180" s="18"/>
      <x:c r="M180" s="18"/>
      <x:c r="N180" s="17"/>
      <x:c r="O180" s="18"/>
      <x:c r="P180" s="18"/>
      <x:c r="Q180" s="18"/>
      <x:c r="R180" s="16"/>
      <x:c r="S180" s="16"/>
      <x:c r="T180" s="16"/>
    </x:row>
    <x:row r="181">
      <x:c r="A181" s="16" t="str">
        <x:v>赣州市</x:v>
      </x:c>
      <x:c r="B181" s="16" t="str">
        <x:v>兴国县</x:v>
      </x:c>
      <x:c r="C181" s="17" t="n">
        <x:v>2025</x:v>
      </x:c>
      <x:c r="D181" s="18"/>
      <x:c r="E181" s="18"/>
      <x:c r="F181" s="17"/>
      <x:c r="G181" s="18"/>
      <x:c r="H181" s="18"/>
      <x:c r="I181" s="18"/>
      <x:c r="J181" s="18"/>
      <x:c r="K181" s="18"/>
      <x:c r="L181" s="18"/>
      <x:c r="M181" s="18"/>
      <x:c r="N181" s="17"/>
      <x:c r="O181" s="18"/>
      <x:c r="P181" s="18"/>
      <x:c r="Q181" s="18"/>
      <x:c r="R181" s="16"/>
      <x:c r="S181" s="16"/>
      <x:c r="T181" s="16"/>
    </x:row>
    <x:row r="182">
      <x:c r="A182" s="16" t="str">
        <x:v>赣州市</x:v>
      </x:c>
      <x:c r="B182" s="16" t="str">
        <x:v>会昌县</x:v>
      </x:c>
      <x:c r="C182" s="17" t="n">
        <x:v>2020</x:v>
      </x:c>
      <x:c r="D182" s="18" t="n">
        <x:v>134.3492</x:v>
      </x:c>
      <x:c r="E182" s="18"/>
      <x:c r="F182" s="17"/>
      <x:c r="G182" s="18"/>
      <x:c r="H182" s="18"/>
      <x:c r="I182" s="18"/>
      <x:c r="J182" s="18"/>
      <x:c r="K182" s="18"/>
      <x:c r="L182" s="18"/>
      <x:c r="M182" s="18" t="n">
        <x:v>150.5964</x:v>
      </x:c>
      <x:c r="N182" s="17"/>
      <x:c r="O182" s="18"/>
      <x:c r="P182" s="18"/>
      <x:c r="Q182" s="18"/>
      <x:c r="R182" s="16" t="str">
        <x:v>A</x:v>
      </x:c>
      <x:c r="S182" s="16" t="str">
        <x:v>https://www.ganzhou.gov.cn/zfxxgk/c100445/202503/b0e046a63c8349efb70d4ae0d7ea98aa/files/6770a9762068466fa33e8ed6e25ecac7.pdf</x:v>
      </x:c>
      <x:c r="T182" s="16" t="str">
        <x:v>赣州统计年鉴2024：住户存款余额，万元换算亿元</x:v>
      </x:c>
    </x:row>
    <x:row r="183">
      <x:c r="A183" s="16" t="str">
        <x:v>赣州市</x:v>
      </x:c>
      <x:c r="B183" s="16" t="str">
        <x:v>会昌县</x:v>
      </x:c>
      <x:c r="C183" s="17" t="n">
        <x:v>2021</x:v>
      </x:c>
      <x:c r="D183" s="18"/>
      <x:c r="E183" s="18"/>
      <x:c r="F183" s="17"/>
      <x:c r="G183" s="18"/>
      <x:c r="H183" s="18"/>
      <x:c r="I183" s="18"/>
      <x:c r="J183" s="18"/>
      <x:c r="K183" s="18"/>
      <x:c r="L183" s="18"/>
      <x:c r="M183" s="18" t="n">
        <x:v>170.8596</x:v>
      </x:c>
      <x:c r="N183" s="17"/>
      <x:c r="O183" s="18"/>
      <x:c r="P183" s="18"/>
      <x:c r="Q183" s="18"/>
      <x:c r="R183" s="16" t="str">
        <x:v>A</x:v>
      </x:c>
      <x:c r="S183" s="16" t="str">
        <x:v>https://www.ganzhou.gov.cn/zfxxgk/c100445/202503/b0e046a63c8349efb70d4ae0d7ea98aa/files/6770a9762068466fa33e8ed6e25ecac7.pdf</x:v>
      </x:c>
      <x:c r="T183" s="16" t="str">
        <x:v>赣州统计年鉴2024：住户存款余额，万元换算亿元</x:v>
      </x:c>
    </x:row>
    <x:row r="184">
      <x:c r="A184" s="16" t="str">
        <x:v>赣州市</x:v>
      </x:c>
      <x:c r="B184" s="16" t="str">
        <x:v>会昌县</x:v>
      </x:c>
      <x:c r="C184" s="17" t="n">
        <x:v>2022</x:v>
      </x:c>
      <x:c r="D184" s="18"/>
      <x:c r="E184" s="18"/>
      <x:c r="F184" s="17"/>
      <x:c r="G184" s="18"/>
      <x:c r="H184" s="18"/>
      <x:c r="I184" s="18"/>
      <x:c r="J184" s="18"/>
      <x:c r="K184" s="18"/>
      <x:c r="L184" s="18"/>
      <x:c r="M184" s="18" t="n">
        <x:v>194.7223</x:v>
      </x:c>
      <x:c r="N184" s="17"/>
      <x:c r="O184" s="18"/>
      <x:c r="P184" s="18"/>
      <x:c r="Q184" s="18"/>
      <x:c r="R184" s="16" t="str">
        <x:v>A</x:v>
      </x:c>
      <x:c r="S184" s="16" t="str">
        <x:v>https://www.ganzhou.gov.cn/zfxxgk/c100445/202503/b0e046a63c8349efb70d4ae0d7ea98aa/files/6770a9762068466fa33e8ed6e25ecac7.pdf</x:v>
      </x:c>
      <x:c r="T184" s="16" t="str">
        <x:v>赣州统计年鉴2024：住户存款余额，万元换算亿元</x:v>
      </x:c>
    </x:row>
    <x:row r="185">
      <x:c r="A185" s="16" t="str">
        <x:v>赣州市</x:v>
      </x:c>
      <x:c r="B185" s="16" t="str">
        <x:v>会昌县</x:v>
      </x:c>
      <x:c r="C185" s="17" t="n">
        <x:v>2023</x:v>
      </x:c>
      <x:c r="D185" s="18" t="n">
        <x:v>164.54</x:v>
      </x:c>
      <x:c r="E185" s="18"/>
      <x:c r="F185" s="17"/>
      <x:c r="G185" s="18"/>
      <x:c r="H185" s="18"/>
      <x:c r="I185" s="18"/>
      <x:c r="J185" s="18"/>
      <x:c r="K185" s="18"/>
      <x:c r="L185" s="18"/>
      <x:c r="M185" s="18" t="n">
        <x:v>220.4869</x:v>
      </x:c>
      <x:c r="N185" s="17"/>
      <x:c r="O185" s="18"/>
      <x:c r="P185" s="18"/>
      <x:c r="Q185" s="18"/>
      <x:c r="R185" s="16" t="str">
        <x:v>A</x:v>
      </x:c>
      <x:c r="S185" s="16" t="str">
        <x:v>https://www.ganzhou.gov.cn/zfxxgk/c100445/202503/b0e046a63c8349efb70d4ae0d7ea98aa/files/6770a9762068466fa33e8ed6e25ecac7.pdf</x:v>
      </x:c>
      <x:c r="T185" s="16" t="str">
        <x:v>赣州统计年鉴2024：住户存款余额，万元换算亿元</x:v>
      </x:c>
    </x:row>
    <x:row r="186">
      <x:c r="A186" s="16" t="str">
        <x:v>赣州市</x:v>
      </x:c>
      <x:c r="B186" s="16" t="str">
        <x:v>会昌县</x:v>
      </x:c>
      <x:c r="C186" s="17" t="n">
        <x:v>2024</x:v>
      </x:c>
      <x:c r="D186" s="18"/>
      <x:c r="E186" s="18"/>
      <x:c r="F186" s="17"/>
      <x:c r="G186" s="18"/>
      <x:c r="H186" s="18"/>
      <x:c r="I186" s="18"/>
      <x:c r="J186" s="18"/>
      <x:c r="K186" s="18"/>
      <x:c r="L186" s="18"/>
      <x:c r="M186" s="18"/>
      <x:c r="N186" s="17"/>
      <x:c r="O186" s="18"/>
      <x:c r="P186" s="18"/>
      <x:c r="Q186" s="18"/>
      <x:c r="R186" s="16"/>
      <x:c r="S186" s="16"/>
      <x:c r="T186" s="16"/>
    </x:row>
    <x:row r="187">
      <x:c r="A187" s="16" t="str">
        <x:v>赣州市</x:v>
      </x:c>
      <x:c r="B187" s="16" t="str">
        <x:v>会昌县</x:v>
      </x:c>
      <x:c r="C187" s="17" t="n">
        <x:v>2025</x:v>
      </x:c>
      <x:c r="D187" s="18"/>
      <x:c r="E187" s="18"/>
      <x:c r="F187" s="17"/>
      <x:c r="G187" s="18"/>
      <x:c r="H187" s="18"/>
      <x:c r="I187" s="18"/>
      <x:c r="J187" s="18"/>
      <x:c r="K187" s="18"/>
      <x:c r="L187" s="18"/>
      <x:c r="M187" s="18"/>
      <x:c r="N187" s="17"/>
      <x:c r="O187" s="18"/>
      <x:c r="P187" s="18"/>
      <x:c r="Q187" s="18"/>
      <x:c r="R187" s="16"/>
      <x:c r="S187" s="16"/>
      <x:c r="T187" s="16"/>
    </x:row>
    <x:row r="188">
      <x:c r="A188" s="16" t="str">
        <x:v>赣州市</x:v>
      </x:c>
      <x:c r="B188" s="16" t="str">
        <x:v>寻乌县</x:v>
      </x:c>
      <x:c r="C188" s="17" t="n">
        <x:v>2020</x:v>
      </x:c>
      <x:c r="D188" s="18"/>
      <x:c r="E188" s="18"/>
      <x:c r="F188" s="17"/>
      <x:c r="G188" s="18"/>
      <x:c r="H188" s="18"/>
      <x:c r="I188" s="18"/>
      <x:c r="J188" s="18"/>
      <x:c r="K188" s="18"/>
      <x:c r="L188" s="18"/>
      <x:c r="M188" s="18" t="n">
        <x:v>85.04</x:v>
      </x:c>
      <x:c r="N188" s="17"/>
      <x:c r="O188" s="18"/>
      <x:c r="P188" s="18"/>
      <x:c r="Q188" s="18"/>
      <x:c r="R188" s="16" t="str">
        <x:v>A</x:v>
      </x:c>
      <x:c r="S188" s="16" t="str">
        <x:v>https://www.ganzhou.gov.cn/zfxxgk/c100445/202503/b0e046a63c8349efb70d4ae0d7ea98aa/files/6770a9762068466fa33e8ed6e25ecac7.pdf</x:v>
      </x:c>
      <x:c r="T188" s="16" t="str">
        <x:v>赣州统计年鉴2024：住户存款余额，万元换算亿元</x:v>
      </x:c>
    </x:row>
    <x:row r="189">
      <x:c r="A189" s="16" t="str">
        <x:v>赣州市</x:v>
      </x:c>
      <x:c r="B189" s="16" t="str">
        <x:v>寻乌县</x:v>
      </x:c>
      <x:c r="C189" s="17" t="n">
        <x:v>2021</x:v>
      </x:c>
      <x:c r="D189" s="18"/>
      <x:c r="E189" s="18"/>
      <x:c r="F189" s="17"/>
      <x:c r="G189" s="18"/>
      <x:c r="H189" s="18"/>
      <x:c r="I189" s="18"/>
      <x:c r="J189" s="18"/>
      <x:c r="K189" s="18"/>
      <x:c r="L189" s="18"/>
      <x:c r="M189" s="18" t="n">
        <x:v>92.1433</x:v>
      </x:c>
      <x:c r="N189" s="17"/>
      <x:c r="O189" s="18"/>
      <x:c r="P189" s="18"/>
      <x:c r="Q189" s="18"/>
      <x:c r="R189" s="16" t="str">
        <x:v>A</x:v>
      </x:c>
      <x:c r="S189" s="16" t="str">
        <x:v>https://www.ganzhou.gov.cn/zfxxgk/c100445/202503/b0e046a63c8349efb70d4ae0d7ea98aa/files/6770a9762068466fa33e8ed6e25ecac7.pdf</x:v>
      </x:c>
      <x:c r="T189" s="16" t="str">
        <x:v>赣州统计年鉴2024：住户存款余额，万元换算亿元</x:v>
      </x:c>
    </x:row>
    <x:row r="190">
      <x:c r="A190" s="16" t="str">
        <x:v>赣州市</x:v>
      </x:c>
      <x:c r="B190" s="16" t="str">
        <x:v>寻乌县</x:v>
      </x:c>
      <x:c r="C190" s="17" t="n">
        <x:v>2022</x:v>
      </x:c>
      <x:c r="D190" s="18" t="n">
        <x:v>125.05</x:v>
      </x:c>
      <x:c r="E190" s="18"/>
      <x:c r="F190" s="17"/>
      <x:c r="G190" s="18"/>
      <x:c r="H190" s="18"/>
      <x:c r="I190" s="18"/>
      <x:c r="J190" s="18"/>
      <x:c r="K190" s="18"/>
      <x:c r="L190" s="18"/>
      <x:c r="M190" s="18" t="n">
        <x:v>105.5681</x:v>
      </x:c>
      <x:c r="N190" s="17"/>
      <x:c r="O190" s="18"/>
      <x:c r="P190" s="18"/>
      <x:c r="Q190" s="18"/>
      <x:c r="R190" s="16" t="str">
        <x:v>A</x:v>
      </x:c>
      <x:c r="S190" s="16" t="str">
        <x:v>https://www.ganzhou.gov.cn/zfxxgk/c100445/202503/b0e046a63c8349efb70d4ae0d7ea98aa/files/6770a9762068466fa33e8ed6e25ecac7.pdf</x:v>
      </x:c>
      <x:c r="T190" s="16" t="str">
        <x:v>赣州统计年鉴2024：住户存款余额，万元换算亿元</x:v>
      </x:c>
    </x:row>
    <x:row r="191">
      <x:c r="A191" s="16" t="str">
        <x:v>赣州市</x:v>
      </x:c>
      <x:c r="B191" s="16" t="str">
        <x:v>寻乌县</x:v>
      </x:c>
      <x:c r="C191" s="17" t="n">
        <x:v>2023</x:v>
      </x:c>
      <x:c r="D191" s="18" t="n">
        <x:v>135.88</x:v>
      </x:c>
      <x:c r="E191" s="18"/>
      <x:c r="F191" s="17"/>
      <x:c r="G191" s="18"/>
      <x:c r="H191" s="18"/>
      <x:c r="I191" s="18"/>
      <x:c r="J191" s="18"/>
      <x:c r="K191" s="18"/>
      <x:c r="L191" s="18"/>
      <x:c r="M191" s="18" t="n">
        <x:v>117.991</x:v>
      </x:c>
      <x:c r="N191" s="17"/>
      <x:c r="O191" s="18"/>
      <x:c r="P191" s="18"/>
      <x:c r="Q191" s="18"/>
      <x:c r="R191" s="16" t="str">
        <x:v>A</x:v>
      </x:c>
      <x:c r="S191" s="16" t="str">
        <x:v>https://www.ganzhou.gov.cn/zfxxgk/c100445/202503/b0e046a63c8349efb70d4ae0d7ea98aa/files/6770a9762068466fa33e8ed6e25ecac7.pdf</x:v>
      </x:c>
      <x:c r="T191" s="16" t="str">
        <x:v>赣州统计年鉴2024：住户存款余额，万元换算亿元</x:v>
      </x:c>
    </x:row>
    <x:row r="192">
      <x:c r="A192" s="16" t="str">
        <x:v>赣州市</x:v>
      </x:c>
      <x:c r="B192" s="16" t="str">
        <x:v>寻乌县</x:v>
      </x:c>
      <x:c r="C192" s="17" t="n">
        <x:v>2024</x:v>
      </x:c>
      <x:c r="D192" s="18"/>
      <x:c r="E192" s="18"/>
      <x:c r="F192" s="17"/>
      <x:c r="G192" s="18"/>
      <x:c r="H192" s="18"/>
      <x:c r="I192" s="18"/>
      <x:c r="J192" s="18"/>
      <x:c r="K192" s="18"/>
      <x:c r="L192" s="18"/>
      <x:c r="M192" s="18"/>
      <x:c r="N192" s="17"/>
      <x:c r="O192" s="18"/>
      <x:c r="P192" s="18"/>
      <x:c r="Q192" s="18"/>
      <x:c r="R192" s="16"/>
      <x:c r="S192" s="16"/>
      <x:c r="T192" s="16"/>
    </x:row>
    <x:row r="193">
      <x:c r="A193" s="16" t="str">
        <x:v>赣州市</x:v>
      </x:c>
      <x:c r="B193" s="16" t="str">
        <x:v>寻乌县</x:v>
      </x:c>
      <x:c r="C193" s="17" t="n">
        <x:v>2025</x:v>
      </x:c>
      <x:c r="D193" s="18"/>
      <x:c r="E193" s="18"/>
      <x:c r="F193" s="17"/>
      <x:c r="G193" s="18"/>
      <x:c r="H193" s="18"/>
      <x:c r="I193" s="18"/>
      <x:c r="J193" s="18"/>
      <x:c r="K193" s="18"/>
      <x:c r="L193" s="18"/>
      <x:c r="M193" s="18"/>
      <x:c r="N193" s="17"/>
      <x:c r="O193" s="18"/>
      <x:c r="P193" s="18"/>
      <x:c r="Q193" s="18"/>
      <x:c r="R193" s="16"/>
      <x:c r="S193" s="16"/>
      <x:c r="T193" s="16"/>
    </x:row>
    <x:row r="194">
      <x:c r="A194" s="16" t="str">
        <x:v>赣州市</x:v>
      </x:c>
      <x:c r="B194" s="16" t="str">
        <x:v>石城县</x:v>
      </x:c>
      <x:c r="C194" s="17" t="n">
        <x:v>2020</x:v>
      </x:c>
      <x:c r="D194" s="18"/>
      <x:c r="E194" s="18"/>
      <x:c r="F194" s="17"/>
      <x:c r="G194" s="18"/>
      <x:c r="H194" s="18"/>
      <x:c r="I194" s="18"/>
      <x:c r="J194" s="18"/>
      <x:c r="K194" s="18"/>
      <x:c r="L194" s="18"/>
      <x:c r="M194" s="18" t="n">
        <x:v>110.8791</x:v>
      </x:c>
      <x:c r="N194" s="17"/>
      <x:c r="O194" s="18"/>
      <x:c r="P194" s="18"/>
      <x:c r="Q194" s="18"/>
      <x:c r="R194" s="16" t="str">
        <x:v>A</x:v>
      </x:c>
      <x:c r="S194" s="16" t="str">
        <x:v>https://www.ganzhou.gov.cn/zfxxgk/c100445/202503/b0e046a63c8349efb70d4ae0d7ea98aa/files/6770a9762068466fa33e8ed6e25ecac7.pdf</x:v>
      </x:c>
      <x:c r="T194" s="16" t="str">
        <x:v>赣州统计年鉴2024：住户存款余额，万元换算亿元</x:v>
      </x:c>
    </x:row>
    <x:row r="195">
      <x:c r="A195" s="16" t="str">
        <x:v>赣州市</x:v>
      </x:c>
      <x:c r="B195" s="16" t="str">
        <x:v>石城县</x:v>
      </x:c>
      <x:c r="C195" s="17" t="n">
        <x:v>2021</x:v>
      </x:c>
      <x:c r="D195" s="18"/>
      <x:c r="E195" s="18"/>
      <x:c r="F195" s="17"/>
      <x:c r="G195" s="18"/>
      <x:c r="H195" s="18"/>
      <x:c r="I195" s="18"/>
      <x:c r="J195" s="18"/>
      <x:c r="K195" s="18"/>
      <x:c r="L195" s="18"/>
      <x:c r="M195" s="18" t="n">
        <x:v>126.0574</x:v>
      </x:c>
      <x:c r="N195" s="17"/>
      <x:c r="O195" s="18"/>
      <x:c r="P195" s="18"/>
      <x:c r="Q195" s="18"/>
      <x:c r="R195" s="16" t="str">
        <x:v>A</x:v>
      </x:c>
      <x:c r="S195" s="16" t="str">
        <x:v>https://www.ganzhou.gov.cn/zfxxgk/c100445/202503/b0e046a63c8349efb70d4ae0d7ea98aa/files/6770a9762068466fa33e8ed6e25ecac7.pdf</x:v>
      </x:c>
      <x:c r="T195" s="16" t="str">
        <x:v>赣州统计年鉴2024：住户存款余额，万元换算亿元</x:v>
      </x:c>
    </x:row>
    <x:row r="196">
      <x:c r="A196" s="16" t="str">
        <x:v>赣州市</x:v>
      </x:c>
      <x:c r="B196" s="16" t="str">
        <x:v>石城县</x:v>
      </x:c>
      <x:c r="C196" s="17" t="n">
        <x:v>2022</x:v>
      </x:c>
      <x:c r="D196" s="18"/>
      <x:c r="E196" s="18"/>
      <x:c r="F196" s="17"/>
      <x:c r="G196" s="18"/>
      <x:c r="H196" s="18"/>
      <x:c r="I196" s="18"/>
      <x:c r="J196" s="18"/>
      <x:c r="K196" s="18"/>
      <x:c r="L196" s="18"/>
      <x:c r="M196" s="18" t="n">
        <x:v>145.9176</x:v>
      </x:c>
      <x:c r="N196" s="17"/>
      <x:c r="O196" s="18"/>
      <x:c r="P196" s="18"/>
      <x:c r="Q196" s="18"/>
      <x:c r="R196" s="16" t="str">
        <x:v>A</x:v>
      </x:c>
      <x:c r="S196" s="16" t="str">
        <x:v>https://www.ganzhou.gov.cn/zfxxgk/c100445/202503/b0e046a63c8349efb70d4ae0d7ea98aa/files/6770a9762068466fa33e8ed6e25ecac7.pdf</x:v>
      </x:c>
      <x:c r="T196" s="16" t="str">
        <x:v>赣州统计年鉴2024：住户存款余额，万元换算亿元</x:v>
      </x:c>
    </x:row>
    <x:row r="197">
      <x:c r="A197" s="16" t="str">
        <x:v>赣州市</x:v>
      </x:c>
      <x:c r="B197" s="16" t="str">
        <x:v>石城县</x:v>
      </x:c>
      <x:c r="C197" s="17" t="n">
        <x:v>2023</x:v>
      </x:c>
      <x:c r="D197" s="18" t="n">
        <x:v>105.96</x:v>
      </x:c>
      <x:c r="E197" s="18"/>
      <x:c r="F197" s="17"/>
      <x:c r="G197" s="18"/>
      <x:c r="H197" s="18"/>
      <x:c r="I197" s="18"/>
      <x:c r="J197" s="18"/>
      <x:c r="K197" s="18"/>
      <x:c r="L197" s="18"/>
      <x:c r="M197" s="18" t="n">
        <x:v>163.1443</x:v>
      </x:c>
      <x:c r="N197" s="17"/>
      <x:c r="O197" s="18"/>
      <x:c r="P197" s="18"/>
      <x:c r="Q197" s="18"/>
      <x:c r="R197" s="16" t="str">
        <x:v>A</x:v>
      </x:c>
      <x:c r="S197" s="16" t="str">
        <x:v>https://www.ganzhou.gov.cn/zfxxgk/c100445/202503/b0e046a63c8349efb70d4ae0d7ea98aa/files/6770a9762068466fa33e8ed6e25ecac7.pdf</x:v>
      </x:c>
      <x:c r="T197" s="16" t="str">
        <x:v>赣州统计年鉴2024：住户存款余额，万元换算亿元</x:v>
      </x:c>
    </x:row>
    <x:row r="198">
      <x:c r="A198" s="16" t="str">
        <x:v>赣州市</x:v>
      </x:c>
      <x:c r="B198" s="16" t="str">
        <x:v>石城县</x:v>
      </x:c>
      <x:c r="C198" s="17" t="n">
        <x:v>2024</x:v>
      </x:c>
      <x:c r="D198" s="18"/>
      <x:c r="E198" s="18"/>
      <x:c r="F198" s="17"/>
      <x:c r="G198" s="18"/>
      <x:c r="H198" s="18"/>
      <x:c r="I198" s="18"/>
      <x:c r="J198" s="18"/>
      <x:c r="K198" s="18"/>
      <x:c r="L198" s="18"/>
      <x:c r="M198" s="18"/>
      <x:c r="N198" s="17"/>
      <x:c r="O198" s="18"/>
      <x:c r="P198" s="18"/>
      <x:c r="Q198" s="18"/>
      <x:c r="R198" s="16"/>
      <x:c r="S198" s="16"/>
      <x:c r="T198" s="16"/>
    </x:row>
    <x:row r="199">
      <x:c r="A199" s="16" t="str">
        <x:v>赣州市</x:v>
      </x:c>
      <x:c r="B199" s="16" t="str">
        <x:v>石城县</x:v>
      </x:c>
      <x:c r="C199" s="17" t="n">
        <x:v>2025</x:v>
      </x:c>
      <x:c r="D199" s="18"/>
      <x:c r="E199" s="18"/>
      <x:c r="F199" s="17"/>
      <x:c r="G199" s="18"/>
      <x:c r="H199" s="18"/>
      <x:c r="I199" s="18"/>
      <x:c r="J199" s="18"/>
      <x:c r="K199" s="18"/>
      <x:c r="L199" s="18"/>
      <x:c r="M199" s="18"/>
      <x:c r="N199" s="17"/>
      <x:c r="O199" s="18"/>
      <x:c r="P199" s="18"/>
      <x:c r="Q199" s="18"/>
      <x:c r="R199" s="16"/>
      <x:c r="S199" s="16"/>
      <x:c r="T199" s="16"/>
    </x:row>
    <x:row r="200">
      <x:c r="A200" s="16" t="str">
        <x:v>赣州市</x:v>
      </x:c>
      <x:c r="B200" s="16" t="str">
        <x:v>瑞金市</x:v>
      </x:c>
      <x:c r="C200" s="17" t="n">
        <x:v>2020</x:v>
      </x:c>
      <x:c r="D200" s="18"/>
      <x:c r="E200" s="18"/>
      <x:c r="F200" s="17"/>
      <x:c r="G200" s="18"/>
      <x:c r="H200" s="18"/>
      <x:c r="I200" s="18"/>
      <x:c r="J200" s="18"/>
      <x:c r="K200" s="18"/>
      <x:c r="L200" s="18"/>
      <x:c r="M200" s="18" t="n">
        <x:v>227.0851</x:v>
      </x:c>
      <x:c r="N200" s="17"/>
      <x:c r="O200" s="18"/>
      <x:c r="P200" s="18"/>
      <x:c r="Q200" s="18"/>
      <x:c r="R200" s="16" t="str">
        <x:v>A</x:v>
      </x:c>
      <x:c r="S200" s="16" t="str">
        <x:v>https://www.ganzhou.gov.cn/zfxxgk/c100445/202503/b0e046a63c8349efb70d4ae0d7ea98aa/files/6770a9762068466fa33e8ed6e25ecac7.pdf</x:v>
      </x:c>
      <x:c r="T200" s="16" t="str">
        <x:v>赣州统计年鉴2024：住户存款余额，万元换算亿元</x:v>
      </x:c>
    </x:row>
    <x:row r="201">
      <x:c r="A201" s="16" t="str">
        <x:v>赣州市</x:v>
      </x:c>
      <x:c r="B201" s="16" t="str">
        <x:v>瑞金市</x:v>
      </x:c>
      <x:c r="C201" s="17" t="n">
        <x:v>2021</x:v>
      </x:c>
      <x:c r="D201" s="18"/>
      <x:c r="E201" s="18"/>
      <x:c r="F201" s="17"/>
      <x:c r="G201" s="18"/>
      <x:c r="H201" s="18"/>
      <x:c r="I201" s="18"/>
      <x:c r="J201" s="18"/>
      <x:c r="K201" s="18"/>
      <x:c r="L201" s="18"/>
      <x:c r="M201" s="18" t="n">
        <x:v>252.3596</x:v>
      </x:c>
      <x:c r="N201" s="17"/>
      <x:c r="O201" s="18"/>
      <x:c r="P201" s="18"/>
      <x:c r="Q201" s="18"/>
      <x:c r="R201" s="16" t="str">
        <x:v>A</x:v>
      </x:c>
      <x:c r="S201" s="16" t="str">
        <x:v>https://www.ganzhou.gov.cn/zfxxgk/c100445/202503/b0e046a63c8349efb70d4ae0d7ea98aa/files/6770a9762068466fa33e8ed6e25ecac7.pdf</x:v>
      </x:c>
      <x:c r="T201" s="16" t="str">
        <x:v>赣州统计年鉴2024：住户存款余额，万元换算亿元</x:v>
      </x:c>
    </x:row>
    <x:row r="202">
      <x:c r="A202" s="16" t="str">
        <x:v>赣州市</x:v>
      </x:c>
      <x:c r="B202" s="16" t="str">
        <x:v>瑞金市</x:v>
      </x:c>
      <x:c r="C202" s="17" t="n">
        <x:v>2022</x:v>
      </x:c>
      <x:c r="D202" s="18"/>
      <x:c r="E202" s="18"/>
      <x:c r="F202" s="17"/>
      <x:c r="G202" s="18"/>
      <x:c r="H202" s="18"/>
      <x:c r="I202" s="18"/>
      <x:c r="J202" s="18"/>
      <x:c r="K202" s="18"/>
      <x:c r="L202" s="18"/>
      <x:c r="M202" s="18" t="n">
        <x:v>287.5559</x:v>
      </x:c>
      <x:c r="N202" s="17"/>
      <x:c r="O202" s="18"/>
      <x:c r="P202" s="18"/>
      <x:c r="Q202" s="18"/>
      <x:c r="R202" s="16" t="str">
        <x:v>A</x:v>
      </x:c>
      <x:c r="S202" s="16" t="str">
        <x:v>https://www.ganzhou.gov.cn/zfxxgk/c100445/202503/b0e046a63c8349efb70d4ae0d7ea98aa/files/6770a9762068466fa33e8ed6e25ecac7.pdf</x:v>
      </x:c>
      <x:c r="T202" s="16" t="str">
        <x:v>赣州统计年鉴2024：住户存款余额，万元换算亿元</x:v>
      </x:c>
    </x:row>
    <x:row r="203">
      <x:c r="A203" s="16" t="str">
        <x:v>赣州市</x:v>
      </x:c>
      <x:c r="B203" s="16" t="str">
        <x:v>瑞金市</x:v>
      </x:c>
      <x:c r="C203" s="17" t="n">
        <x:v>2023</x:v>
      </x:c>
      <x:c r="D203" s="18" t="n">
        <x:v>207.3</x:v>
      </x:c>
      <x:c r="E203" s="18"/>
      <x:c r="F203" s="17"/>
      <x:c r="G203" s="18"/>
      <x:c r="H203" s="18"/>
      <x:c r="I203" s="18"/>
      <x:c r="J203" s="18"/>
      <x:c r="K203" s="18"/>
      <x:c r="L203" s="18"/>
      <x:c r="M203" s="18" t="n">
        <x:v>326.1603</x:v>
      </x:c>
      <x:c r="N203" s="17"/>
      <x:c r="O203" s="18"/>
      <x:c r="P203" s="18"/>
      <x:c r="Q203" s="18"/>
      <x:c r="R203" s="16" t="str">
        <x:v>A</x:v>
      </x:c>
      <x:c r="S203" s="16" t="str">
        <x:v>https://www.ganzhou.gov.cn/zfxxgk/c100445/202503/b0e046a63c8349efb70d4ae0d7ea98aa/files/6770a9762068466fa33e8ed6e25ecac7.pdf</x:v>
      </x:c>
      <x:c r="T203" s="16" t="str">
        <x:v>赣州统计年鉴2024：住户存款余额，万元换算亿元</x:v>
      </x:c>
    </x:row>
    <x:row r="204">
      <x:c r="A204" s="16" t="str">
        <x:v>赣州市</x:v>
      </x:c>
      <x:c r="B204" s="16" t="str">
        <x:v>瑞金市</x:v>
      </x:c>
      <x:c r="C204" s="17" t="n">
        <x:v>2024</x:v>
      </x:c>
      <x:c r="D204" s="18"/>
      <x:c r="E204" s="18"/>
      <x:c r="F204" s="17"/>
      <x:c r="G204" s="18"/>
      <x:c r="H204" s="18"/>
      <x:c r="I204" s="18"/>
      <x:c r="J204" s="18"/>
      <x:c r="K204" s="18"/>
      <x:c r="L204" s="18"/>
      <x:c r="M204" s="18"/>
      <x:c r="N204" s="17"/>
      <x:c r="O204" s="18"/>
      <x:c r="P204" s="18"/>
      <x:c r="Q204" s="18"/>
      <x:c r="R204" s="16"/>
      <x:c r="S204" s="16"/>
      <x:c r="T204" s="16"/>
    </x:row>
    <x:row r="205">
      <x:c r="A205" s="16" t="str">
        <x:v>赣州市</x:v>
      </x:c>
      <x:c r="B205" s="16" t="str">
        <x:v>瑞金市</x:v>
      </x:c>
      <x:c r="C205" s="17" t="n">
        <x:v>2025</x:v>
      </x:c>
      <x:c r="D205" s="18"/>
      <x:c r="E205" s="18"/>
      <x:c r="F205" s="17"/>
      <x:c r="G205" s="18"/>
      <x:c r="H205" s="18"/>
      <x:c r="I205" s="18"/>
      <x:c r="J205" s="18"/>
      <x:c r="K205" s="18"/>
      <x:c r="L205" s="18"/>
      <x:c r="M205" s="18"/>
      <x:c r="N205" s="17"/>
      <x:c r="O205" s="18"/>
      <x:c r="P205" s="18"/>
      <x:c r="Q205" s="18"/>
      <x:c r="R205" s="16"/>
      <x:c r="S205" s="16"/>
      <x:c r="T205" s="16"/>
    </x:row>
    <x:row r="206">
      <x:c r="A206" s="16" t="str">
        <x:v>赣州市</x:v>
      </x:c>
      <x:c r="B206" s="16" t="str">
        <x:v>龙南市</x:v>
      </x:c>
      <x:c r="C206" s="17" t="n">
        <x:v>2020</x:v>
      </x:c>
      <x:c r="D206" s="18"/>
      <x:c r="E206" s="18"/>
      <x:c r="F206" s="17"/>
      <x:c r="G206" s="18"/>
      <x:c r="H206" s="18"/>
      <x:c r="I206" s="18"/>
      <x:c r="J206" s="18"/>
      <x:c r="K206" s="18"/>
      <x:c r="L206" s="18"/>
      <x:c r="M206" s="18" t="n">
        <x:v>124.9688</x:v>
      </x:c>
      <x:c r="N206" s="17"/>
      <x:c r="O206" s="18"/>
      <x:c r="P206" s="18"/>
      <x:c r="Q206" s="18"/>
      <x:c r="R206" s="16" t="str">
        <x:v>A</x:v>
      </x:c>
      <x:c r="S206" s="16" t="str">
        <x:v>https://www.ganzhou.gov.cn/zfxxgk/c100445/202503/b0e046a63c8349efb70d4ae0d7ea98aa/files/6770a9762068466fa33e8ed6e25ecac7.pdf</x:v>
      </x:c>
      <x:c r="T206" s="16" t="str">
        <x:v>赣州统计年鉴2024：住户存款余额，万元换算亿元</x:v>
      </x:c>
    </x:row>
    <x:row r="207">
      <x:c r="A207" s="16" t="str">
        <x:v>赣州市</x:v>
      </x:c>
      <x:c r="B207" s="16" t="str">
        <x:v>龙南市</x:v>
      </x:c>
      <x:c r="C207" s="17" t="n">
        <x:v>2021</x:v>
      </x:c>
      <x:c r="D207" s="18"/>
      <x:c r="E207" s="18"/>
      <x:c r="F207" s="17"/>
      <x:c r="G207" s="18"/>
      <x:c r="H207" s="18"/>
      <x:c r="I207" s="18"/>
      <x:c r="J207" s="18"/>
      <x:c r="K207" s="18"/>
      <x:c r="L207" s="18"/>
      <x:c r="M207" s="18" t="n">
        <x:v>145.5561</x:v>
      </x:c>
      <x:c r="N207" s="17"/>
      <x:c r="O207" s="18"/>
      <x:c r="P207" s="18"/>
      <x:c r="Q207" s="18"/>
      <x:c r="R207" s="16" t="str">
        <x:v>A</x:v>
      </x:c>
      <x:c r="S207" s="16" t="str">
        <x:v>https://www.ganzhou.gov.cn/zfxxgk/c100445/202503/b0e046a63c8349efb70d4ae0d7ea98aa/files/6770a9762068466fa33e8ed6e25ecac7.pdf</x:v>
      </x:c>
      <x:c r="T207" s="16" t="str">
        <x:v>赣州统计年鉴2024：住户存款余额，万元换算亿元</x:v>
      </x:c>
    </x:row>
    <x:row r="208">
      <x:c r="A208" s="16" t="str">
        <x:v>赣州市</x:v>
      </x:c>
      <x:c r="B208" s="16" t="str">
        <x:v>龙南市</x:v>
      </x:c>
      <x:c r="C208" s="17" t="n">
        <x:v>2022</x:v>
      </x:c>
      <x:c r="D208" s="18"/>
      <x:c r="E208" s="18"/>
      <x:c r="F208" s="17"/>
      <x:c r="G208" s="18"/>
      <x:c r="H208" s="18"/>
      <x:c r="I208" s="18"/>
      <x:c r="J208" s="18"/>
      <x:c r="K208" s="18"/>
      <x:c r="L208" s="18"/>
      <x:c r="M208" s="18" t="n">
        <x:v>165.9074</x:v>
      </x:c>
      <x:c r="N208" s="17"/>
      <x:c r="O208" s="18"/>
      <x:c r="P208" s="18"/>
      <x:c r="Q208" s="18"/>
      <x:c r="R208" s="16" t="str">
        <x:v>A</x:v>
      </x:c>
      <x:c r="S208" s="16" t="str">
        <x:v>https://www.ganzhou.gov.cn/zfxxgk/c100445/202503/b0e046a63c8349efb70d4ae0d7ea98aa/files/6770a9762068466fa33e8ed6e25ecac7.pdf</x:v>
      </x:c>
      <x:c r="T208" s="16" t="str">
        <x:v>赣州统计年鉴2024：住户存款余额，万元换算亿元</x:v>
      </x:c>
    </x:row>
    <x:row r="209">
      <x:c r="A209" s="16" t="str">
        <x:v>赣州市</x:v>
      </x:c>
      <x:c r="B209" s="16" t="str">
        <x:v>龙南市</x:v>
      </x:c>
      <x:c r="C209" s="17" t="n">
        <x:v>2023</x:v>
      </x:c>
      <x:c r="D209" s="18" t="n">
        <x:v>220.09</x:v>
      </x:c>
      <x:c r="E209" s="18"/>
      <x:c r="F209" s="17"/>
      <x:c r="G209" s="18"/>
      <x:c r="H209" s="18"/>
      <x:c r="I209" s="18"/>
      <x:c r="J209" s="18"/>
      <x:c r="K209" s="18"/>
      <x:c r="L209" s="18"/>
      <x:c r="M209" s="18" t="n">
        <x:v>184.5555</x:v>
      </x:c>
      <x:c r="N209" s="17"/>
      <x:c r="O209" s="18"/>
      <x:c r="P209" s="18"/>
      <x:c r="Q209" s="18"/>
      <x:c r="R209" s="16" t="str">
        <x:v>A</x:v>
      </x:c>
      <x:c r="S209" s="16" t="str">
        <x:v>https://www.ganzhou.gov.cn/zfxxgk/c100445/202503/b0e046a63c8349efb70d4ae0d7ea98aa/files/6770a9762068466fa33e8ed6e25ecac7.pdf</x:v>
      </x:c>
      <x:c r="T209" s="16" t="str">
        <x:v>赣州统计年鉴2024：住户存款余额，万元换算亿元</x:v>
      </x:c>
    </x:row>
    <x:row r="210">
      <x:c r="A210" s="16" t="str">
        <x:v>赣州市</x:v>
      </x:c>
      <x:c r="B210" s="16" t="str">
        <x:v>龙南市</x:v>
      </x:c>
      <x:c r="C210" s="17" t="n">
        <x:v>2024</x:v>
      </x:c>
      <x:c r="D210" s="18"/>
      <x:c r="E210" s="18"/>
      <x:c r="F210" s="17"/>
      <x:c r="G210" s="18"/>
      <x:c r="H210" s="18"/>
      <x:c r="I210" s="18"/>
      <x:c r="J210" s="18"/>
      <x:c r="K210" s="18"/>
      <x:c r="L210" s="18"/>
      <x:c r="M210" s="18"/>
      <x:c r="N210" s="17"/>
      <x:c r="O210" s="18"/>
      <x:c r="P210" s="18"/>
      <x:c r="Q210" s="18"/>
      <x:c r="R210" s="16"/>
      <x:c r="S210" s="16"/>
      <x:c r="T210" s="16"/>
    </x:row>
    <x:row r="211">
      <x:c r="A211" s="16" t="str">
        <x:v>赣州市</x:v>
      </x:c>
      <x:c r="B211" s="16" t="str">
        <x:v>龙南市</x:v>
      </x:c>
      <x:c r="C211" s="17" t="n">
        <x:v>2025</x:v>
      </x:c>
      <x:c r="D211" s="18"/>
      <x:c r="E211" s="18"/>
      <x:c r="F211" s="17"/>
      <x:c r="G211" s="18"/>
      <x:c r="H211" s="18"/>
      <x:c r="I211" s="18"/>
      <x:c r="J211" s="18"/>
      <x:c r="K211" s="18"/>
      <x:c r="L211" s="18"/>
      <x:c r="M211" s="18"/>
      <x:c r="N211" s="17"/>
      <x:c r="O211" s="18"/>
      <x:c r="P211" s="18"/>
      <x:c r="Q211" s="18"/>
      <x:c r="R211" s="16"/>
      <x:c r="S211" s="16"/>
      <x:c r="T211" s="16"/>
    </x:row>
    <x:row r="212">
      <x:c r="A212" s="16" t="str">
        <x:v>吉安市</x:v>
      </x:c>
      <x:c r="B212" s="16" t="str">
        <x:v>吉安县</x:v>
      </x:c>
      <x:c r="C212" s="17" t="n">
        <x:v>2020</x:v>
      </x:c>
      <x:c r="D212" s="18"/>
      <x:c r="E212" s="18"/>
      <x:c r="F212" s="17"/>
      <x:c r="G212" s="18"/>
      <x:c r="H212" s="18"/>
      <x:c r="I212" s="18"/>
      <x:c r="J212" s="18"/>
      <x:c r="K212" s="18"/>
      <x:c r="L212" s="18"/>
      <x:c r="M212" s="18"/>
      <x:c r="N212" s="17"/>
      <x:c r="O212" s="18"/>
      <x:c r="P212" s="18"/>
      <x:c r="Q212" s="18"/>
      <x:c r="R212" s="16"/>
      <x:c r="S212" s="16"/>
      <x:c r="T212" s="16"/>
    </x:row>
    <x:row r="213">
      <x:c r="A213" s="16" t="str">
        <x:v>吉安市</x:v>
      </x:c>
      <x:c r="B213" s="16" t="str">
        <x:v>吉安县</x:v>
      </x:c>
      <x:c r="C213" s="17" t="n">
        <x:v>2021</x:v>
      </x:c>
      <x:c r="D213" s="18"/>
      <x:c r="E213" s="18"/>
      <x:c r="F213" s="17"/>
      <x:c r="G213" s="18"/>
      <x:c r="H213" s="18"/>
      <x:c r="I213" s="18"/>
      <x:c r="J213" s="18"/>
      <x:c r="K213" s="18"/>
      <x:c r="L213" s="18"/>
      <x:c r="M213" s="18"/>
      <x:c r="N213" s="17"/>
      <x:c r="O213" s="18"/>
      <x:c r="P213" s="18"/>
      <x:c r="Q213" s="18"/>
      <x:c r="R213" s="16"/>
      <x:c r="S213" s="16"/>
      <x:c r="T213" s="16"/>
    </x:row>
    <x:row r="214">
      <x:c r="A214" s="16" t="str">
        <x:v>吉安市</x:v>
      </x:c>
      <x:c r="B214" s="16" t="str">
        <x:v>吉安县</x:v>
      </x:c>
      <x:c r="C214" s="17" t="n">
        <x:v>2022</x:v>
      </x:c>
      <x:c r="D214" s="18" t="n">
        <x:v>263.48</x:v>
      </x:c>
      <x:c r="E214" s="18"/>
      <x:c r="F214" s="17"/>
      <x:c r="G214" s="18"/>
      <x:c r="H214" s="18"/>
      <x:c r="I214" s="18"/>
      <x:c r="J214" s="18"/>
      <x:c r="K214" s="18"/>
      <x:c r="L214" s="18"/>
      <x:c r="M214" s="18"/>
      <x:c r="N214" s="17"/>
      <x:c r="O214" s="18"/>
      <x:c r="P214" s="18"/>
      <x:c r="Q214" s="18"/>
      <x:c r="R214" s="16" t="str">
        <x:v>B</x:v>
      </x:c>
      <x:c r="S214" s="16" t="str">
        <x:v>https://www.maigoo.com/news/672853.html</x:v>
      </x:c>
      <x:c r="T214" s="16" t="str">
        <x:v>吉安县域GDP聚合</x:v>
      </x:c>
    </x:row>
    <x:row r="215">
      <x:c r="A215" s="16" t="str">
        <x:v>吉安市</x:v>
      </x:c>
      <x:c r="B215" s="16" t="str">
        <x:v>吉安县</x:v>
      </x:c>
      <x:c r="C215" s="17" t="n">
        <x:v>2023</x:v>
      </x:c>
      <x:c r="D215" s="18"/>
      <x:c r="E215" s="18"/>
      <x:c r="F215" s="17"/>
      <x:c r="G215" s="18"/>
      <x:c r="H215" s="18"/>
      <x:c r="I215" s="18"/>
      <x:c r="J215" s="18"/>
      <x:c r="K215" s="18"/>
      <x:c r="L215" s="18"/>
      <x:c r="M215" s="18"/>
      <x:c r="N215" s="17"/>
      <x:c r="O215" s="18"/>
      <x:c r="P215" s="18"/>
      <x:c r="Q215" s="18"/>
      <x:c r="R215" s="16"/>
      <x:c r="S215" s="16"/>
      <x:c r="T215" s="16"/>
    </x:row>
    <x:row r="216">
      <x:c r="A216" s="16" t="str">
        <x:v>吉安市</x:v>
      </x:c>
      <x:c r="B216" s="16" t="str">
        <x:v>吉安县</x:v>
      </x:c>
      <x:c r="C216" s="17" t="n">
        <x:v>2024</x:v>
      </x:c>
      <x:c r="D216" s="18"/>
      <x:c r="E216" s="18"/>
      <x:c r="F216" s="17"/>
      <x:c r="G216" s="18"/>
      <x:c r="H216" s="18"/>
      <x:c r="I216" s="18"/>
      <x:c r="J216" s="18"/>
      <x:c r="K216" s="18"/>
      <x:c r="L216" s="18"/>
      <x:c r="M216" s="18"/>
      <x:c r="N216" s="17"/>
      <x:c r="O216" s="18"/>
      <x:c r="P216" s="18"/>
      <x:c r="Q216" s="18"/>
      <x:c r="R216" s="16"/>
      <x:c r="S216" s="16"/>
      <x:c r="T216" s="16"/>
    </x:row>
    <x:row r="217">
      <x:c r="A217" s="16" t="str">
        <x:v>吉安市</x:v>
      </x:c>
      <x:c r="B217" s="16" t="str">
        <x:v>吉安县</x:v>
      </x:c>
      <x:c r="C217" s="17" t="n">
        <x:v>2025</x:v>
      </x:c>
      <x:c r="D217" s="18"/>
      <x:c r="E217" s="18"/>
      <x:c r="F217" s="17"/>
      <x:c r="G217" s="18"/>
      <x:c r="H217" s="18"/>
      <x:c r="I217" s="18"/>
      <x:c r="J217" s="18"/>
      <x:c r="K217" s="18"/>
      <x:c r="L217" s="18"/>
      <x:c r="M217" s="18"/>
      <x:c r="N217" s="17"/>
      <x:c r="O217" s="18"/>
      <x:c r="P217" s="18"/>
      <x:c r="Q217" s="18"/>
      <x:c r="R217" s="16"/>
      <x:c r="S217" s="16"/>
      <x:c r="T217" s="16"/>
    </x:row>
    <x:row r="218">
      <x:c r="A218" s="16" t="str">
        <x:v>吉安市</x:v>
      </x:c>
      <x:c r="B218" s="16" t="str">
        <x:v>吉水县</x:v>
      </x:c>
      <x:c r="C218" s="17" t="n">
        <x:v>2020</x:v>
      </x:c>
      <x:c r="D218" s="18"/>
      <x:c r="E218" s="18"/>
      <x:c r="F218" s="17"/>
      <x:c r="G218" s="18"/>
      <x:c r="H218" s="18"/>
      <x:c r="I218" s="18"/>
      <x:c r="J218" s="18"/>
      <x:c r="K218" s="18"/>
      <x:c r="L218" s="18"/>
      <x:c r="M218" s="18"/>
      <x:c r="N218" s="17"/>
      <x:c r="O218" s="18"/>
      <x:c r="P218" s="18"/>
      <x:c r="Q218" s="18"/>
      <x:c r="R218" s="16"/>
      <x:c r="S218" s="16"/>
      <x:c r="T218" s="16"/>
    </x:row>
    <x:row r="219">
      <x:c r="A219" s="16" t="str">
        <x:v>吉安市</x:v>
      </x:c>
      <x:c r="B219" s="16" t="str">
        <x:v>吉水县</x:v>
      </x:c>
      <x:c r="C219" s="17" t="n">
        <x:v>2021</x:v>
      </x:c>
      <x:c r="D219" s="18"/>
      <x:c r="E219" s="18"/>
      <x:c r="F219" s="17"/>
      <x:c r="G219" s="18"/>
      <x:c r="H219" s="18"/>
      <x:c r="I219" s="18"/>
      <x:c r="J219" s="18"/>
      <x:c r="K219" s="18"/>
      <x:c r="L219" s="18"/>
      <x:c r="M219" s="18"/>
      <x:c r="N219" s="17"/>
      <x:c r="O219" s="18"/>
      <x:c r="P219" s="18"/>
      <x:c r="Q219" s="18"/>
      <x:c r="R219" s="16"/>
      <x:c r="S219" s="16"/>
      <x:c r="T219" s="16"/>
    </x:row>
    <x:row r="220">
      <x:c r="A220" s="16" t="str">
        <x:v>吉安市</x:v>
      </x:c>
      <x:c r="B220" s="16" t="str">
        <x:v>吉水县</x:v>
      </x:c>
      <x:c r="C220" s="17" t="n">
        <x:v>2022</x:v>
      </x:c>
      <x:c r="D220" s="18" t="n">
        <x:v>228.14</x:v>
      </x:c>
      <x:c r="E220" s="18"/>
      <x:c r="F220" s="17"/>
      <x:c r="G220" s="18"/>
      <x:c r="H220" s="18"/>
      <x:c r="I220" s="18"/>
      <x:c r="J220" s="18"/>
      <x:c r="K220" s="18"/>
      <x:c r="L220" s="18"/>
      <x:c r="M220" s="18"/>
      <x:c r="N220" s="17"/>
      <x:c r="O220" s="18"/>
      <x:c r="P220" s="18"/>
      <x:c r="Q220" s="18"/>
      <x:c r="R220" s="16" t="str">
        <x:v>B</x:v>
      </x:c>
      <x:c r="S220" s="16" t="str">
        <x:v>https://www.maigoo.com/news/672853.html</x:v>
      </x:c>
      <x:c r="T220" s="16" t="str">
        <x:v>吉安县域GDP聚合</x:v>
      </x:c>
    </x:row>
    <x:row r="221">
      <x:c r="A221" s="16" t="str">
        <x:v>吉安市</x:v>
      </x:c>
      <x:c r="B221" s="16" t="str">
        <x:v>吉水县</x:v>
      </x:c>
      <x:c r="C221" s="17" t="n">
        <x:v>2023</x:v>
      </x:c>
      <x:c r="D221" s="18"/>
      <x:c r="E221" s="18"/>
      <x:c r="F221" s="17"/>
      <x:c r="G221" s="18"/>
      <x:c r="H221" s="18"/>
      <x:c r="I221" s="18"/>
      <x:c r="J221" s="18"/>
      <x:c r="K221" s="18"/>
      <x:c r="L221" s="18"/>
      <x:c r="M221" s="18"/>
      <x:c r="N221" s="17"/>
      <x:c r="O221" s="18"/>
      <x:c r="P221" s="18"/>
      <x:c r="Q221" s="18"/>
      <x:c r="R221" s="16"/>
      <x:c r="S221" s="16"/>
      <x:c r="T221" s="16"/>
    </x:row>
    <x:row r="222">
      <x:c r="A222" s="16" t="str">
        <x:v>吉安市</x:v>
      </x:c>
      <x:c r="B222" s="16" t="str">
        <x:v>吉水县</x:v>
      </x:c>
      <x:c r="C222" s="17" t="n">
        <x:v>2024</x:v>
      </x:c>
      <x:c r="D222" s="18"/>
      <x:c r="E222" s="18"/>
      <x:c r="F222" s="17"/>
      <x:c r="G222" s="18"/>
      <x:c r="H222" s="18"/>
      <x:c r="I222" s="18"/>
      <x:c r="J222" s="18"/>
      <x:c r="K222" s="18"/>
      <x:c r="L222" s="18"/>
      <x:c r="M222" s="18"/>
      <x:c r="N222" s="17"/>
      <x:c r="O222" s="18"/>
      <x:c r="P222" s="18"/>
      <x:c r="Q222" s="18"/>
      <x:c r="R222" s="16"/>
      <x:c r="S222" s="16"/>
      <x:c r="T222" s="16"/>
    </x:row>
    <x:row r="223">
      <x:c r="A223" s="16" t="str">
        <x:v>吉安市</x:v>
      </x:c>
      <x:c r="B223" s="16" t="str">
        <x:v>吉水县</x:v>
      </x:c>
      <x:c r="C223" s="17" t="n">
        <x:v>2025</x:v>
      </x:c>
      <x:c r="D223" s="18"/>
      <x:c r="E223" s="18"/>
      <x:c r="F223" s="17"/>
      <x:c r="G223" s="18"/>
      <x:c r="H223" s="18"/>
      <x:c r="I223" s="18"/>
      <x:c r="J223" s="18"/>
      <x:c r="K223" s="18"/>
      <x:c r="L223" s="18"/>
      <x:c r="M223" s="18"/>
      <x:c r="N223" s="17"/>
      <x:c r="O223" s="18"/>
      <x:c r="P223" s="18"/>
      <x:c r="Q223" s="18"/>
      <x:c r="R223" s="16"/>
      <x:c r="S223" s="16"/>
      <x:c r="T223" s="16"/>
    </x:row>
    <x:row r="224">
      <x:c r="A224" s="16" t="str">
        <x:v>吉安市</x:v>
      </x:c>
      <x:c r="B224" s="16" t="str">
        <x:v>峡江县</x:v>
      </x:c>
      <x:c r="C224" s="17" t="n">
        <x:v>2020</x:v>
      </x:c>
      <x:c r="D224" s="18"/>
      <x:c r="E224" s="18"/>
      <x:c r="F224" s="17"/>
      <x:c r="G224" s="18"/>
      <x:c r="H224" s="18"/>
      <x:c r="I224" s="18"/>
      <x:c r="J224" s="18"/>
      <x:c r="K224" s="18"/>
      <x:c r="L224" s="18"/>
      <x:c r="M224" s="18"/>
      <x:c r="N224" s="17"/>
      <x:c r="O224" s="18"/>
      <x:c r="P224" s="18"/>
      <x:c r="Q224" s="18"/>
      <x:c r="R224" s="16"/>
      <x:c r="S224" s="16"/>
      <x:c r="T224" s="16"/>
    </x:row>
    <x:row r="225">
      <x:c r="A225" s="16" t="str">
        <x:v>吉安市</x:v>
      </x:c>
      <x:c r="B225" s="16" t="str">
        <x:v>峡江县</x:v>
      </x:c>
      <x:c r="C225" s="17" t="n">
        <x:v>2021</x:v>
      </x:c>
      <x:c r="D225" s="18"/>
      <x:c r="E225" s="18"/>
      <x:c r="F225" s="17"/>
      <x:c r="G225" s="18"/>
      <x:c r="H225" s="18"/>
      <x:c r="I225" s="18"/>
      <x:c r="J225" s="18"/>
      <x:c r="K225" s="18"/>
      <x:c r="L225" s="18"/>
      <x:c r="M225" s="18"/>
      <x:c r="N225" s="17"/>
      <x:c r="O225" s="18"/>
      <x:c r="P225" s="18"/>
      <x:c r="Q225" s="18"/>
      <x:c r="R225" s="16"/>
      <x:c r="S225" s="16"/>
      <x:c r="T225" s="16"/>
    </x:row>
    <x:row r="226">
      <x:c r="A226" s="16" t="str">
        <x:v>吉安市</x:v>
      </x:c>
      <x:c r="B226" s="16" t="str">
        <x:v>峡江县</x:v>
      </x:c>
      <x:c r="C226" s="17" t="n">
        <x:v>2022</x:v>
      </x:c>
      <x:c r="D226" s="18" t="n">
        <x:v>102.2951</x:v>
      </x:c>
      <x:c r="E226" s="18"/>
      <x:c r="F226" s="17"/>
      <x:c r="G226" s="18"/>
      <x:c r="H226" s="18"/>
      <x:c r="I226" s="18"/>
      <x:c r="J226" s="18"/>
      <x:c r="K226" s="18"/>
      <x:c r="L226" s="18"/>
      <x:c r="M226" s="18"/>
      <x:c r="N226" s="17"/>
      <x:c r="O226" s="18"/>
      <x:c r="P226" s="18"/>
      <x:c r="Q226" s="18"/>
      <x:c r="R226" s="16" t="str">
        <x:v>C</x:v>
      </x:c>
      <x:c r="S226" s="16" t="str">
        <x:v>https://www.hongheiku.com/xianjirank/jxsgdp.html</x:v>
      </x:c>
      <x:c r="T226" s="16" t="str">
        <x:v>历史排行页；待官方年鉴替换</x:v>
      </x:c>
    </x:row>
    <x:row r="227">
      <x:c r="A227" s="16" t="str">
        <x:v>吉安市</x:v>
      </x:c>
      <x:c r="B227" s="16" t="str">
        <x:v>峡江县</x:v>
      </x:c>
      <x:c r="C227" s="17" t="n">
        <x:v>2023</x:v>
      </x:c>
      <x:c r="D227" s="18"/>
      <x:c r="E227" s="18"/>
      <x:c r="F227" s="17"/>
      <x:c r="G227" s="18"/>
      <x:c r="H227" s="18"/>
      <x:c r="I227" s="18"/>
      <x:c r="J227" s="18"/>
      <x:c r="K227" s="18"/>
      <x:c r="L227" s="18"/>
      <x:c r="M227" s="18"/>
      <x:c r="N227" s="17"/>
      <x:c r="O227" s="18"/>
      <x:c r="P227" s="18"/>
      <x:c r="Q227" s="18"/>
      <x:c r="R227" s="16"/>
      <x:c r="S227" s="16"/>
      <x:c r="T227" s="16"/>
    </x:row>
    <x:row r="228">
      <x:c r="A228" s="16" t="str">
        <x:v>吉安市</x:v>
      </x:c>
      <x:c r="B228" s="16" t="str">
        <x:v>峡江县</x:v>
      </x:c>
      <x:c r="C228" s="17" t="n">
        <x:v>2024</x:v>
      </x:c>
      <x:c r="D228" s="18"/>
      <x:c r="E228" s="18"/>
      <x:c r="F228" s="17"/>
      <x:c r="G228" s="18"/>
      <x:c r="H228" s="18"/>
      <x:c r="I228" s="18"/>
      <x:c r="J228" s="18"/>
      <x:c r="K228" s="18"/>
      <x:c r="L228" s="18"/>
      <x:c r="M228" s="18"/>
      <x:c r="N228" s="17"/>
      <x:c r="O228" s="18"/>
      <x:c r="P228" s="18"/>
      <x:c r="Q228" s="18"/>
      <x:c r="R228" s="16"/>
      <x:c r="S228" s="16"/>
      <x:c r="T228" s="16"/>
    </x:row>
    <x:row r="229">
      <x:c r="A229" s="16" t="str">
        <x:v>吉安市</x:v>
      </x:c>
      <x:c r="B229" s="16" t="str">
        <x:v>峡江县</x:v>
      </x:c>
      <x:c r="C229" s="17" t="n">
        <x:v>2025</x:v>
      </x:c>
      <x:c r="D229" s="18"/>
      <x:c r="E229" s="18"/>
      <x:c r="F229" s="17"/>
      <x:c r="G229" s="18"/>
      <x:c r="H229" s="18"/>
      <x:c r="I229" s="18"/>
      <x:c r="J229" s="18"/>
      <x:c r="K229" s="18"/>
      <x:c r="L229" s="18"/>
      <x:c r="M229" s="18"/>
      <x:c r="N229" s="17"/>
      <x:c r="O229" s="18"/>
      <x:c r="P229" s="18"/>
      <x:c r="Q229" s="18"/>
      <x:c r="R229" s="16"/>
      <x:c r="S229" s="16"/>
      <x:c r="T229" s="16"/>
    </x:row>
    <x:row r="230">
      <x:c r="A230" s="16" t="str">
        <x:v>吉安市</x:v>
      </x:c>
      <x:c r="B230" s="16" t="str">
        <x:v>新干县</x:v>
      </x:c>
      <x:c r="C230" s="17" t="n">
        <x:v>2020</x:v>
      </x:c>
      <x:c r="D230" s="18"/>
      <x:c r="E230" s="18"/>
      <x:c r="F230" s="17"/>
      <x:c r="G230" s="18"/>
      <x:c r="H230" s="18"/>
      <x:c r="I230" s="18"/>
      <x:c r="J230" s="18"/>
      <x:c r="K230" s="18"/>
      <x:c r="L230" s="18"/>
      <x:c r="M230" s="18"/>
      <x:c r="N230" s="17"/>
      <x:c r="O230" s="18"/>
      <x:c r="P230" s="18"/>
      <x:c r="Q230" s="18"/>
      <x:c r="R230" s="16"/>
      <x:c r="S230" s="16"/>
      <x:c r="T230" s="16"/>
    </x:row>
    <x:row r="231">
      <x:c r="A231" s="16" t="str">
        <x:v>吉安市</x:v>
      </x:c>
      <x:c r="B231" s="16" t="str">
        <x:v>新干县</x:v>
      </x:c>
      <x:c r="C231" s="17" t="n">
        <x:v>2021</x:v>
      </x:c>
      <x:c r="D231" s="18"/>
      <x:c r="E231" s="18"/>
      <x:c r="F231" s="17"/>
      <x:c r="G231" s="18"/>
      <x:c r="H231" s="18"/>
      <x:c r="I231" s="18"/>
      <x:c r="J231" s="18"/>
      <x:c r="K231" s="18"/>
      <x:c r="L231" s="18"/>
      <x:c r="M231" s="18"/>
      <x:c r="N231" s="17"/>
      <x:c r="O231" s="18"/>
      <x:c r="P231" s="18"/>
      <x:c r="Q231" s="18"/>
      <x:c r="R231" s="16"/>
      <x:c r="S231" s="16"/>
      <x:c r="T231" s="16"/>
    </x:row>
    <x:row r="232">
      <x:c r="A232" s="16" t="str">
        <x:v>吉安市</x:v>
      </x:c>
      <x:c r="B232" s="16" t="str">
        <x:v>新干县</x:v>
      </x:c>
      <x:c r="C232" s="17" t="n">
        <x:v>2022</x:v>
      </x:c>
      <x:c r="D232" s="18" t="n">
        <x:v>222.72</x:v>
      </x:c>
      <x:c r="E232" s="18"/>
      <x:c r="F232" s="17"/>
      <x:c r="G232" s="18"/>
      <x:c r="H232" s="18"/>
      <x:c r="I232" s="18"/>
      <x:c r="J232" s="18"/>
      <x:c r="K232" s="18"/>
      <x:c r="L232" s="18"/>
      <x:c r="M232" s="18"/>
      <x:c r="N232" s="17"/>
      <x:c r="O232" s="18"/>
      <x:c r="P232" s="18"/>
      <x:c r="Q232" s="18"/>
      <x:c r="R232" s="16" t="str">
        <x:v>B</x:v>
      </x:c>
      <x:c r="S232" s="16" t="str">
        <x:v>https://www.maigoo.com/news/672853.html</x:v>
      </x:c>
      <x:c r="T232" s="16" t="str">
        <x:v>吉安县域GDP聚合</x:v>
      </x:c>
    </x:row>
    <x:row r="233">
      <x:c r="A233" s="16" t="str">
        <x:v>吉安市</x:v>
      </x:c>
      <x:c r="B233" s="16" t="str">
        <x:v>新干县</x:v>
      </x:c>
      <x:c r="C233" s="17" t="n">
        <x:v>2023</x:v>
      </x:c>
      <x:c r="D233" s="18"/>
      <x:c r="E233" s="18"/>
      <x:c r="F233" s="17"/>
      <x:c r="G233" s="18"/>
      <x:c r="H233" s="18"/>
      <x:c r="I233" s="18"/>
      <x:c r="J233" s="18"/>
      <x:c r="K233" s="18"/>
      <x:c r="L233" s="18"/>
      <x:c r="M233" s="18"/>
      <x:c r="N233" s="17"/>
      <x:c r="O233" s="18"/>
      <x:c r="P233" s="18"/>
      <x:c r="Q233" s="18"/>
      <x:c r="R233" s="16"/>
      <x:c r="S233" s="16"/>
      <x:c r="T233" s="16"/>
    </x:row>
    <x:row r="234">
      <x:c r="A234" s="16" t="str">
        <x:v>吉安市</x:v>
      </x:c>
      <x:c r="B234" s="16" t="str">
        <x:v>新干县</x:v>
      </x:c>
      <x:c r="C234" s="17" t="n">
        <x:v>2024</x:v>
      </x:c>
      <x:c r="D234" s="18"/>
      <x:c r="E234" s="18"/>
      <x:c r="F234" s="17"/>
      <x:c r="G234" s="18"/>
      <x:c r="H234" s="18"/>
      <x:c r="I234" s="18"/>
      <x:c r="J234" s="18"/>
      <x:c r="K234" s="18"/>
      <x:c r="L234" s="18"/>
      <x:c r="M234" s="18"/>
      <x:c r="N234" s="17"/>
      <x:c r="O234" s="18"/>
      <x:c r="P234" s="18"/>
      <x:c r="Q234" s="18"/>
      <x:c r="R234" s="16"/>
      <x:c r="S234" s="16"/>
      <x:c r="T234" s="16"/>
    </x:row>
    <x:row r="235">
      <x:c r="A235" s="16" t="str">
        <x:v>吉安市</x:v>
      </x:c>
      <x:c r="B235" s="16" t="str">
        <x:v>新干县</x:v>
      </x:c>
      <x:c r="C235" s="17" t="n">
        <x:v>2025</x:v>
      </x:c>
      <x:c r="D235" s="18"/>
      <x:c r="E235" s="18"/>
      <x:c r="F235" s="17"/>
      <x:c r="G235" s="18"/>
      <x:c r="H235" s="18"/>
      <x:c r="I235" s="18"/>
      <x:c r="J235" s="18"/>
      <x:c r="K235" s="18"/>
      <x:c r="L235" s="18"/>
      <x:c r="M235" s="18"/>
      <x:c r="N235" s="17"/>
      <x:c r="O235" s="18"/>
      <x:c r="P235" s="18"/>
      <x:c r="Q235" s="18"/>
      <x:c r="R235" s="16"/>
      <x:c r="S235" s="16"/>
      <x:c r="T235" s="16"/>
    </x:row>
    <x:row r="236">
      <x:c r="A236" s="16" t="str">
        <x:v>吉安市</x:v>
      </x:c>
      <x:c r="B236" s="16" t="str">
        <x:v>永丰县</x:v>
      </x:c>
      <x:c r="C236" s="17" t="n">
        <x:v>2020</x:v>
      </x:c>
      <x:c r="D236" s="18"/>
      <x:c r="E236" s="18"/>
      <x:c r="F236" s="17"/>
      <x:c r="G236" s="18"/>
      <x:c r="H236" s="18"/>
      <x:c r="I236" s="18"/>
      <x:c r="J236" s="18"/>
      <x:c r="K236" s="18"/>
      <x:c r="L236" s="18"/>
      <x:c r="M236" s="18"/>
      <x:c r="N236" s="17"/>
      <x:c r="O236" s="18"/>
      <x:c r="P236" s="18"/>
      <x:c r="Q236" s="18"/>
      <x:c r="R236" s="16"/>
      <x:c r="S236" s="16"/>
      <x:c r="T236" s="16"/>
    </x:row>
    <x:row r="237">
      <x:c r="A237" s="16" t="str">
        <x:v>吉安市</x:v>
      </x:c>
      <x:c r="B237" s="16" t="str">
        <x:v>永丰县</x:v>
      </x:c>
      <x:c r="C237" s="17" t="n">
        <x:v>2021</x:v>
      </x:c>
      <x:c r="D237" s="18"/>
      <x:c r="E237" s="18"/>
      <x:c r="F237" s="17"/>
      <x:c r="G237" s="18"/>
      <x:c r="H237" s="18"/>
      <x:c r="I237" s="18"/>
      <x:c r="J237" s="18"/>
      <x:c r="K237" s="18"/>
      <x:c r="L237" s="18"/>
      <x:c r="M237" s="18"/>
      <x:c r="N237" s="17"/>
      <x:c r="O237" s="18"/>
      <x:c r="P237" s="18"/>
      <x:c r="Q237" s="18"/>
      <x:c r="R237" s="16"/>
      <x:c r="S237" s="16"/>
      <x:c r="T237" s="16"/>
    </x:row>
    <x:row r="238">
      <x:c r="A238" s="16" t="str">
        <x:v>吉安市</x:v>
      </x:c>
      <x:c r="B238" s="16" t="str">
        <x:v>永丰县</x:v>
      </x:c>
      <x:c r="C238" s="17" t="n">
        <x:v>2022</x:v>
      </x:c>
      <x:c r="D238" s="18" t="n">
        <x:v>227.56</x:v>
      </x:c>
      <x:c r="E238" s="18"/>
      <x:c r="F238" s="17"/>
      <x:c r="G238" s="18"/>
      <x:c r="H238" s="18"/>
      <x:c r="I238" s="18"/>
      <x:c r="J238" s="18"/>
      <x:c r="K238" s="18"/>
      <x:c r="L238" s="18"/>
      <x:c r="M238" s="18"/>
      <x:c r="N238" s="17"/>
      <x:c r="O238" s="18"/>
      <x:c r="P238" s="18"/>
      <x:c r="Q238" s="18"/>
      <x:c r="R238" s="16" t="str">
        <x:v>B</x:v>
      </x:c>
      <x:c r="S238" s="16" t="str">
        <x:v>https://www.maigoo.com/news/672853.html</x:v>
      </x:c>
      <x:c r="T238" s="16" t="str">
        <x:v>吉安县域GDP聚合</x:v>
      </x:c>
    </x:row>
    <x:row r="239">
      <x:c r="A239" s="16" t="str">
        <x:v>吉安市</x:v>
      </x:c>
      <x:c r="B239" s="16" t="str">
        <x:v>永丰县</x:v>
      </x:c>
      <x:c r="C239" s="17" t="n">
        <x:v>2023</x:v>
      </x:c>
      <x:c r="D239" s="18"/>
      <x:c r="E239" s="18"/>
      <x:c r="F239" s="17"/>
      <x:c r="G239" s="18"/>
      <x:c r="H239" s="18"/>
      <x:c r="I239" s="18"/>
      <x:c r="J239" s="18"/>
      <x:c r="K239" s="18"/>
      <x:c r="L239" s="18"/>
      <x:c r="M239" s="18"/>
      <x:c r="N239" s="17"/>
      <x:c r="O239" s="18"/>
      <x:c r="P239" s="18"/>
      <x:c r="Q239" s="18"/>
      <x:c r="R239" s="16"/>
      <x:c r="S239" s="16"/>
      <x:c r="T239" s="16"/>
    </x:row>
    <x:row r="240">
      <x:c r="A240" s="16" t="str">
        <x:v>吉安市</x:v>
      </x:c>
      <x:c r="B240" s="16" t="str">
        <x:v>永丰县</x:v>
      </x:c>
      <x:c r="C240" s="17" t="n">
        <x:v>2024</x:v>
      </x:c>
      <x:c r="D240" s="18"/>
      <x:c r="E240" s="18"/>
      <x:c r="F240" s="17"/>
      <x:c r="G240" s="18"/>
      <x:c r="H240" s="18"/>
      <x:c r="I240" s="18"/>
      <x:c r="J240" s="18"/>
      <x:c r="K240" s="18"/>
      <x:c r="L240" s="18"/>
      <x:c r="M240" s="18"/>
      <x:c r="N240" s="17"/>
      <x:c r="O240" s="18"/>
      <x:c r="P240" s="18"/>
      <x:c r="Q240" s="18"/>
      <x:c r="R240" s="16"/>
      <x:c r="S240" s="16"/>
      <x:c r="T240" s="16"/>
    </x:row>
    <x:row r="241">
      <x:c r="A241" s="16" t="str">
        <x:v>吉安市</x:v>
      </x:c>
      <x:c r="B241" s="16" t="str">
        <x:v>永丰县</x:v>
      </x:c>
      <x:c r="C241" s="17" t="n">
        <x:v>2025</x:v>
      </x:c>
      <x:c r="D241" s="18"/>
      <x:c r="E241" s="18"/>
      <x:c r="F241" s="17"/>
      <x:c r="G241" s="18"/>
      <x:c r="H241" s="18"/>
      <x:c r="I241" s="18"/>
      <x:c r="J241" s="18"/>
      <x:c r="K241" s="18"/>
      <x:c r="L241" s="18"/>
      <x:c r="M241" s="18"/>
      <x:c r="N241" s="17"/>
      <x:c r="O241" s="18"/>
      <x:c r="P241" s="18"/>
      <x:c r="Q241" s="18"/>
      <x:c r="R241" s="16"/>
      <x:c r="S241" s="16"/>
      <x:c r="T241" s="16"/>
    </x:row>
    <x:row r="242">
      <x:c r="A242" s="16" t="str">
        <x:v>吉安市</x:v>
      </x:c>
      <x:c r="B242" s="16" t="str">
        <x:v>泰和县</x:v>
      </x:c>
      <x:c r="C242" s="17" t="n">
        <x:v>2020</x:v>
      </x:c>
      <x:c r="D242" s="18"/>
      <x:c r="E242" s="18"/>
      <x:c r="F242" s="17"/>
      <x:c r="G242" s="18"/>
      <x:c r="H242" s="18"/>
      <x:c r="I242" s="18"/>
      <x:c r="J242" s="18"/>
      <x:c r="K242" s="18"/>
      <x:c r="L242" s="18"/>
      <x:c r="M242" s="18"/>
      <x:c r="N242" s="17"/>
      <x:c r="O242" s="18"/>
      <x:c r="P242" s="18"/>
      <x:c r="Q242" s="18"/>
      <x:c r="R242" s="16"/>
      <x:c r="S242" s="16"/>
      <x:c r="T242" s="16"/>
    </x:row>
    <x:row r="243">
      <x:c r="A243" s="16" t="str">
        <x:v>吉安市</x:v>
      </x:c>
      <x:c r="B243" s="16" t="str">
        <x:v>泰和县</x:v>
      </x:c>
      <x:c r="C243" s="17" t="n">
        <x:v>2021</x:v>
      </x:c>
      <x:c r="D243" s="18"/>
      <x:c r="E243" s="18"/>
      <x:c r="F243" s="17"/>
      <x:c r="G243" s="18"/>
      <x:c r="H243" s="18"/>
      <x:c r="I243" s="18"/>
      <x:c r="J243" s="18"/>
      <x:c r="K243" s="18"/>
      <x:c r="L243" s="18"/>
      <x:c r="M243" s="18"/>
      <x:c r="N243" s="17"/>
      <x:c r="O243" s="18"/>
      <x:c r="P243" s="18"/>
      <x:c r="Q243" s="18"/>
      <x:c r="R243" s="16"/>
      <x:c r="S243" s="16"/>
      <x:c r="T243" s="16"/>
    </x:row>
    <x:row r="244">
      <x:c r="A244" s="16" t="str">
        <x:v>吉安市</x:v>
      </x:c>
      <x:c r="B244" s="16" t="str">
        <x:v>泰和县</x:v>
      </x:c>
      <x:c r="C244" s="17" t="n">
        <x:v>2022</x:v>
      </x:c>
      <x:c r="D244" s="18" t="n">
        <x:v>254.62</x:v>
      </x:c>
      <x:c r="E244" s="18"/>
      <x:c r="F244" s="17"/>
      <x:c r="G244" s="18"/>
      <x:c r="H244" s="18"/>
      <x:c r="I244" s="18"/>
      <x:c r="J244" s="18"/>
      <x:c r="K244" s="18"/>
      <x:c r="L244" s="18"/>
      <x:c r="M244" s="18"/>
      <x:c r="N244" s="17"/>
      <x:c r="O244" s="18"/>
      <x:c r="P244" s="18"/>
      <x:c r="Q244" s="18"/>
      <x:c r="R244" s="16" t="str">
        <x:v>B</x:v>
      </x:c>
      <x:c r="S244" s="16" t="str">
        <x:v>https://www.maigoo.com/news/672853.html</x:v>
      </x:c>
      <x:c r="T244" s="16" t="str">
        <x:v>吉安县域GDP聚合</x:v>
      </x:c>
    </x:row>
    <x:row r="245">
      <x:c r="A245" s="16" t="str">
        <x:v>吉安市</x:v>
      </x:c>
      <x:c r="B245" s="16" t="str">
        <x:v>泰和县</x:v>
      </x:c>
      <x:c r="C245" s="17" t="n">
        <x:v>2023</x:v>
      </x:c>
      <x:c r="D245" s="18"/>
      <x:c r="E245" s="18"/>
      <x:c r="F245" s="17"/>
      <x:c r="G245" s="18"/>
      <x:c r="H245" s="18"/>
      <x:c r="I245" s="18"/>
      <x:c r="J245" s="18"/>
      <x:c r="K245" s="18"/>
      <x:c r="L245" s="18"/>
      <x:c r="M245" s="18"/>
      <x:c r="N245" s="17"/>
      <x:c r="O245" s="18"/>
      <x:c r="P245" s="18"/>
      <x:c r="Q245" s="18"/>
      <x:c r="R245" s="16"/>
      <x:c r="S245" s="16"/>
      <x:c r="T245" s="16"/>
    </x:row>
    <x:row r="246">
      <x:c r="A246" s="16" t="str">
        <x:v>吉安市</x:v>
      </x:c>
      <x:c r="B246" s="16" t="str">
        <x:v>泰和县</x:v>
      </x:c>
      <x:c r="C246" s="17" t="n">
        <x:v>2024</x:v>
      </x:c>
      <x:c r="D246" s="18"/>
      <x:c r="E246" s="18"/>
      <x:c r="F246" s="17"/>
      <x:c r="G246" s="18"/>
      <x:c r="H246" s="18"/>
      <x:c r="I246" s="18"/>
      <x:c r="J246" s="18"/>
      <x:c r="K246" s="18"/>
      <x:c r="L246" s="18"/>
      <x:c r="M246" s="18"/>
      <x:c r="N246" s="17"/>
      <x:c r="O246" s="18"/>
      <x:c r="P246" s="18"/>
      <x:c r="Q246" s="18"/>
      <x:c r="R246" s="16"/>
      <x:c r="S246" s="16"/>
      <x:c r="T246" s="16"/>
    </x:row>
    <x:row r="247">
      <x:c r="A247" s="16" t="str">
        <x:v>吉安市</x:v>
      </x:c>
      <x:c r="B247" s="16" t="str">
        <x:v>泰和县</x:v>
      </x:c>
      <x:c r="C247" s="17" t="n">
        <x:v>2025</x:v>
      </x:c>
      <x:c r="D247" s="18"/>
      <x:c r="E247" s="18"/>
      <x:c r="F247" s="17"/>
      <x:c r="G247" s="18"/>
      <x:c r="H247" s="18"/>
      <x:c r="I247" s="18"/>
      <x:c r="J247" s="18"/>
      <x:c r="K247" s="18"/>
      <x:c r="L247" s="18"/>
      <x:c r="M247" s="18"/>
      <x:c r="N247" s="17"/>
      <x:c r="O247" s="18"/>
      <x:c r="P247" s="18"/>
      <x:c r="Q247" s="18"/>
      <x:c r="R247" s="16"/>
      <x:c r="S247" s="16"/>
      <x:c r="T247" s="16"/>
    </x:row>
    <x:row r="248">
      <x:c r="A248" s="16" t="str">
        <x:v>吉安市</x:v>
      </x:c>
      <x:c r="B248" s="16" t="str">
        <x:v>遂川县</x:v>
      </x:c>
      <x:c r="C248" s="17" t="n">
        <x:v>2020</x:v>
      </x:c>
      <x:c r="D248" s="18"/>
      <x:c r="E248" s="18"/>
      <x:c r="F248" s="17"/>
      <x:c r="G248" s="18"/>
      <x:c r="H248" s="18"/>
      <x:c r="I248" s="18"/>
      <x:c r="J248" s="18"/>
      <x:c r="K248" s="18"/>
      <x:c r="L248" s="18"/>
      <x:c r="M248" s="18"/>
      <x:c r="N248" s="17"/>
      <x:c r="O248" s="18"/>
      <x:c r="P248" s="18"/>
      <x:c r="Q248" s="18"/>
      <x:c r="R248" s="16"/>
      <x:c r="S248" s="16"/>
      <x:c r="T248" s="16"/>
    </x:row>
    <x:row r="249">
      <x:c r="A249" s="16" t="str">
        <x:v>吉安市</x:v>
      </x:c>
      <x:c r="B249" s="16" t="str">
        <x:v>遂川县</x:v>
      </x:c>
      <x:c r="C249" s="17" t="n">
        <x:v>2021</x:v>
      </x:c>
      <x:c r="D249" s="18"/>
      <x:c r="E249" s="18"/>
      <x:c r="F249" s="17"/>
      <x:c r="G249" s="18"/>
      <x:c r="H249" s="18"/>
      <x:c r="I249" s="18"/>
      <x:c r="J249" s="18"/>
      <x:c r="K249" s="18"/>
      <x:c r="L249" s="18"/>
      <x:c r="M249" s="18"/>
      <x:c r="N249" s="17"/>
      <x:c r="O249" s="18"/>
      <x:c r="P249" s="18"/>
      <x:c r="Q249" s="18"/>
      <x:c r="R249" s="16"/>
      <x:c r="S249" s="16"/>
      <x:c r="T249" s="16"/>
    </x:row>
    <x:row r="250">
      <x:c r="A250" s="16" t="str">
        <x:v>吉安市</x:v>
      </x:c>
      <x:c r="B250" s="16" t="str">
        <x:v>遂川县</x:v>
      </x:c>
      <x:c r="C250" s="17" t="n">
        <x:v>2022</x:v>
      </x:c>
      <x:c r="D250" s="18" t="n">
        <x:v>219.87</x:v>
      </x:c>
      <x:c r="E250" s="18"/>
      <x:c r="F250" s="17"/>
      <x:c r="G250" s="18"/>
      <x:c r="H250" s="18"/>
      <x:c r="I250" s="18"/>
      <x:c r="J250" s="18"/>
      <x:c r="K250" s="18"/>
      <x:c r="L250" s="18"/>
      <x:c r="M250" s="18"/>
      <x:c r="N250" s="17"/>
      <x:c r="O250" s="18"/>
      <x:c r="P250" s="18"/>
      <x:c r="Q250" s="18"/>
      <x:c r="R250" s="16" t="str">
        <x:v>B</x:v>
      </x:c>
      <x:c r="S250" s="16" t="str">
        <x:v>https://www.maigoo.com/news/672853.html</x:v>
      </x:c>
      <x:c r="T250" s="16" t="str">
        <x:v>吉安县域GDP聚合</x:v>
      </x:c>
    </x:row>
    <x:row r="251">
      <x:c r="A251" s="16" t="str">
        <x:v>吉安市</x:v>
      </x:c>
      <x:c r="B251" s="16" t="str">
        <x:v>遂川县</x:v>
      </x:c>
      <x:c r="C251" s="17" t="n">
        <x:v>2023</x:v>
      </x:c>
      <x:c r="D251" s="18"/>
      <x:c r="E251" s="18"/>
      <x:c r="F251" s="17"/>
      <x:c r="G251" s="18"/>
      <x:c r="H251" s="18"/>
      <x:c r="I251" s="18"/>
      <x:c r="J251" s="18"/>
      <x:c r="K251" s="18"/>
      <x:c r="L251" s="18"/>
      <x:c r="M251" s="18"/>
      <x:c r="N251" s="17"/>
      <x:c r="O251" s="18"/>
      <x:c r="P251" s="18"/>
      <x:c r="Q251" s="18"/>
      <x:c r="R251" s="16"/>
      <x:c r="S251" s="16"/>
      <x:c r="T251" s="16"/>
    </x:row>
    <x:row r="252">
      <x:c r="A252" s="16" t="str">
        <x:v>吉安市</x:v>
      </x:c>
      <x:c r="B252" s="16" t="str">
        <x:v>遂川县</x:v>
      </x:c>
      <x:c r="C252" s="17" t="n">
        <x:v>2024</x:v>
      </x:c>
      <x:c r="D252" s="18"/>
      <x:c r="E252" s="18"/>
      <x:c r="F252" s="17"/>
      <x:c r="G252" s="18"/>
      <x:c r="H252" s="18"/>
      <x:c r="I252" s="18"/>
      <x:c r="J252" s="18"/>
      <x:c r="K252" s="18"/>
      <x:c r="L252" s="18"/>
      <x:c r="M252" s="18"/>
      <x:c r="N252" s="17"/>
      <x:c r="O252" s="18"/>
      <x:c r="P252" s="18"/>
      <x:c r="Q252" s="18"/>
      <x:c r="R252" s="16"/>
      <x:c r="S252" s="16"/>
      <x:c r="T252" s="16"/>
    </x:row>
    <x:row r="253">
      <x:c r="A253" s="16" t="str">
        <x:v>吉安市</x:v>
      </x:c>
      <x:c r="B253" s="16" t="str">
        <x:v>遂川县</x:v>
      </x:c>
      <x:c r="C253" s="17" t="n">
        <x:v>2025</x:v>
      </x:c>
      <x:c r="D253" s="18"/>
      <x:c r="E253" s="18"/>
      <x:c r="F253" s="17"/>
      <x:c r="G253" s="18"/>
      <x:c r="H253" s="18"/>
      <x:c r="I253" s="18"/>
      <x:c r="J253" s="18"/>
      <x:c r="K253" s="18"/>
      <x:c r="L253" s="18"/>
      <x:c r="M253" s="18"/>
      <x:c r="N253" s="17"/>
      <x:c r="O253" s="18"/>
      <x:c r="P253" s="18"/>
      <x:c r="Q253" s="18"/>
      <x:c r="R253" s="16"/>
      <x:c r="S253" s="16"/>
      <x:c r="T253" s="16"/>
    </x:row>
    <x:row r="254">
      <x:c r="A254" s="16" t="str">
        <x:v>吉安市</x:v>
      </x:c>
      <x:c r="B254" s="16" t="str">
        <x:v>万安县</x:v>
      </x:c>
      <x:c r="C254" s="17" t="n">
        <x:v>2020</x:v>
      </x:c>
      <x:c r="D254" s="18"/>
      <x:c r="E254" s="18"/>
      <x:c r="F254" s="17"/>
      <x:c r="G254" s="18"/>
      <x:c r="H254" s="18"/>
      <x:c r="I254" s="18"/>
      <x:c r="J254" s="18"/>
      <x:c r="K254" s="18"/>
      <x:c r="L254" s="18"/>
      <x:c r="M254" s="18"/>
      <x:c r="N254" s="17"/>
      <x:c r="O254" s="18"/>
      <x:c r="P254" s="18"/>
      <x:c r="Q254" s="18"/>
      <x:c r="R254" s="16"/>
      <x:c r="S254" s="16"/>
      <x:c r="T254" s="16"/>
    </x:row>
    <x:row r="255">
      <x:c r="A255" s="16" t="str">
        <x:v>吉安市</x:v>
      </x:c>
      <x:c r="B255" s="16" t="str">
        <x:v>万安县</x:v>
      </x:c>
      <x:c r="C255" s="17" t="n">
        <x:v>2021</x:v>
      </x:c>
      <x:c r="D255" s="18"/>
      <x:c r="E255" s="18"/>
      <x:c r="F255" s="17"/>
      <x:c r="G255" s="18"/>
      <x:c r="H255" s="18"/>
      <x:c r="I255" s="18"/>
      <x:c r="J255" s="18"/>
      <x:c r="K255" s="18"/>
      <x:c r="L255" s="18"/>
      <x:c r="M255" s="18"/>
      <x:c r="N255" s="17"/>
      <x:c r="O255" s="18"/>
      <x:c r="P255" s="18"/>
      <x:c r="Q255" s="18"/>
      <x:c r="R255" s="16"/>
      <x:c r="S255" s="16"/>
      <x:c r="T255" s="16"/>
    </x:row>
    <x:row r="256">
      <x:c r="A256" s="16" t="str">
        <x:v>吉安市</x:v>
      </x:c>
      <x:c r="B256" s="16" t="str">
        <x:v>万安县</x:v>
      </x:c>
      <x:c r="C256" s="17" t="n">
        <x:v>2022</x:v>
      </x:c>
      <x:c r="D256" s="18" t="n">
        <x:v>121.14</x:v>
      </x:c>
      <x:c r="E256" s="18"/>
      <x:c r="F256" s="17"/>
      <x:c r="G256" s="18"/>
      <x:c r="H256" s="18"/>
      <x:c r="I256" s="18"/>
      <x:c r="J256" s="18"/>
      <x:c r="K256" s="18"/>
      <x:c r="L256" s="18"/>
      <x:c r="M256" s="18"/>
      <x:c r="N256" s="17"/>
      <x:c r="O256" s="18"/>
      <x:c r="P256" s="18"/>
      <x:c r="Q256" s="18"/>
      <x:c r="R256" s="16" t="str">
        <x:v>C</x:v>
      </x:c>
      <x:c r="S256" s="16" t="str">
        <x:v>https://www.hongheiku.com/xianjirank/jxsgdp.html</x:v>
      </x:c>
      <x:c r="T256" s="16" t="str">
        <x:v>历史排行页；待官方年鉴替换</x:v>
      </x:c>
    </x:row>
    <x:row r="257">
      <x:c r="A257" s="16" t="str">
        <x:v>吉安市</x:v>
      </x:c>
      <x:c r="B257" s="16" t="str">
        <x:v>万安县</x:v>
      </x:c>
      <x:c r="C257" s="17" t="n">
        <x:v>2023</x:v>
      </x:c>
      <x:c r="D257" s="18"/>
      <x:c r="E257" s="18"/>
      <x:c r="F257" s="17"/>
      <x:c r="G257" s="18"/>
      <x:c r="H257" s="18"/>
      <x:c r="I257" s="18"/>
      <x:c r="J257" s="18"/>
      <x:c r="K257" s="18"/>
      <x:c r="L257" s="18"/>
      <x:c r="M257" s="18"/>
      <x:c r="N257" s="17"/>
      <x:c r="O257" s="18"/>
      <x:c r="P257" s="18"/>
      <x:c r="Q257" s="18"/>
      <x:c r="R257" s="16"/>
      <x:c r="S257" s="16"/>
      <x:c r="T257" s="16"/>
    </x:row>
    <x:row r="258">
      <x:c r="A258" s="16" t="str">
        <x:v>吉安市</x:v>
      </x:c>
      <x:c r="B258" s="16" t="str">
        <x:v>万安县</x:v>
      </x:c>
      <x:c r="C258" s="17" t="n">
        <x:v>2024</x:v>
      </x:c>
      <x:c r="D258" s="18"/>
      <x:c r="E258" s="18"/>
      <x:c r="F258" s="17"/>
      <x:c r="G258" s="18"/>
      <x:c r="H258" s="18"/>
      <x:c r="I258" s="18"/>
      <x:c r="J258" s="18"/>
      <x:c r="K258" s="18"/>
      <x:c r="L258" s="18"/>
      <x:c r="M258" s="18"/>
      <x:c r="N258" s="17"/>
      <x:c r="O258" s="18"/>
      <x:c r="P258" s="18"/>
      <x:c r="Q258" s="18"/>
      <x:c r="R258" s="16"/>
      <x:c r="S258" s="16"/>
      <x:c r="T258" s="16"/>
    </x:row>
    <x:row r="259">
      <x:c r="A259" s="16" t="str">
        <x:v>吉安市</x:v>
      </x:c>
      <x:c r="B259" s="16" t="str">
        <x:v>万安县</x:v>
      </x:c>
      <x:c r="C259" s="17" t="n">
        <x:v>2025</x:v>
      </x:c>
      <x:c r="D259" s="18"/>
      <x:c r="E259" s="18"/>
      <x:c r="F259" s="17"/>
      <x:c r="G259" s="18"/>
      <x:c r="H259" s="18"/>
      <x:c r="I259" s="18"/>
      <x:c r="J259" s="18"/>
      <x:c r="K259" s="18"/>
      <x:c r="L259" s="18"/>
      <x:c r="M259" s="18"/>
      <x:c r="N259" s="17"/>
      <x:c r="O259" s="18"/>
      <x:c r="P259" s="18"/>
      <x:c r="Q259" s="18"/>
      <x:c r="R259" s="16"/>
      <x:c r="S259" s="16"/>
      <x:c r="T259" s="16"/>
    </x:row>
    <x:row r="260">
      <x:c r="A260" s="16" t="str">
        <x:v>吉安市</x:v>
      </x:c>
      <x:c r="B260" s="16" t="str">
        <x:v>安福县</x:v>
      </x:c>
      <x:c r="C260" s="17" t="n">
        <x:v>2020</x:v>
      </x:c>
      <x:c r="D260" s="18"/>
      <x:c r="E260" s="18"/>
      <x:c r="F260" s="17"/>
      <x:c r="G260" s="18"/>
      <x:c r="H260" s="18"/>
      <x:c r="I260" s="18"/>
      <x:c r="J260" s="18"/>
      <x:c r="K260" s="18"/>
      <x:c r="L260" s="18"/>
      <x:c r="M260" s="18"/>
      <x:c r="N260" s="17"/>
      <x:c r="O260" s="18"/>
      <x:c r="P260" s="18"/>
      <x:c r="Q260" s="18"/>
      <x:c r="R260" s="16"/>
      <x:c r="S260" s="16"/>
      <x:c r="T260" s="16"/>
    </x:row>
    <x:row r="261">
      <x:c r="A261" s="16" t="str">
        <x:v>吉安市</x:v>
      </x:c>
      <x:c r="B261" s="16" t="str">
        <x:v>安福县</x:v>
      </x:c>
      <x:c r="C261" s="17" t="n">
        <x:v>2021</x:v>
      </x:c>
      <x:c r="D261" s="18"/>
      <x:c r="E261" s="18"/>
      <x:c r="F261" s="17"/>
      <x:c r="G261" s="18"/>
      <x:c r="H261" s="18"/>
      <x:c r="I261" s="18"/>
      <x:c r="J261" s="18"/>
      <x:c r="K261" s="18"/>
      <x:c r="L261" s="18"/>
      <x:c r="M261" s="18"/>
      <x:c r="N261" s="17"/>
      <x:c r="O261" s="18"/>
      <x:c r="P261" s="18"/>
      <x:c r="Q261" s="18"/>
      <x:c r="R261" s="16"/>
      <x:c r="S261" s="16"/>
      <x:c r="T261" s="16"/>
    </x:row>
    <x:row r="262">
      <x:c r="A262" s="16" t="str">
        <x:v>吉安市</x:v>
      </x:c>
      <x:c r="B262" s="16" t="str">
        <x:v>安福县</x:v>
      </x:c>
      <x:c r="C262" s="17" t="n">
        <x:v>2022</x:v>
      </x:c>
      <x:c r="D262" s="18" t="n">
        <x:v>210.93</x:v>
      </x:c>
      <x:c r="E262" s="18"/>
      <x:c r="F262" s="17"/>
      <x:c r="G262" s="18"/>
      <x:c r="H262" s="18"/>
      <x:c r="I262" s="18"/>
      <x:c r="J262" s="18"/>
      <x:c r="K262" s="18"/>
      <x:c r="L262" s="18"/>
      <x:c r="M262" s="18"/>
      <x:c r="N262" s="17"/>
      <x:c r="O262" s="18"/>
      <x:c r="P262" s="18"/>
      <x:c r="Q262" s="18"/>
      <x:c r="R262" s="16" t="str">
        <x:v>B</x:v>
      </x:c>
      <x:c r="S262" s="16" t="str">
        <x:v>https://www.maigoo.com/news/672853.html</x:v>
      </x:c>
      <x:c r="T262" s="16" t="str">
        <x:v>吉安县域GDP聚合</x:v>
      </x:c>
    </x:row>
    <x:row r="263">
      <x:c r="A263" s="16" t="str">
        <x:v>吉安市</x:v>
      </x:c>
      <x:c r="B263" s="16" t="str">
        <x:v>安福县</x:v>
      </x:c>
      <x:c r="C263" s="17" t="n">
        <x:v>2023</x:v>
      </x:c>
      <x:c r="D263" s="18"/>
      <x:c r="E263" s="18"/>
      <x:c r="F263" s="17"/>
      <x:c r="G263" s="18"/>
      <x:c r="H263" s="18"/>
      <x:c r="I263" s="18"/>
      <x:c r="J263" s="18"/>
      <x:c r="K263" s="18"/>
      <x:c r="L263" s="18"/>
      <x:c r="M263" s="18"/>
      <x:c r="N263" s="17"/>
      <x:c r="O263" s="18"/>
      <x:c r="P263" s="18"/>
      <x:c r="Q263" s="18"/>
      <x:c r="R263" s="16"/>
      <x:c r="S263" s="16"/>
      <x:c r="T263" s="16"/>
    </x:row>
    <x:row r="264">
      <x:c r="A264" s="16" t="str">
        <x:v>吉安市</x:v>
      </x:c>
      <x:c r="B264" s="16" t="str">
        <x:v>安福县</x:v>
      </x:c>
      <x:c r="C264" s="17" t="n">
        <x:v>2024</x:v>
      </x:c>
      <x:c r="D264" s="18"/>
      <x:c r="E264" s="18"/>
      <x:c r="F264" s="17"/>
      <x:c r="G264" s="18"/>
      <x:c r="H264" s="18"/>
      <x:c r="I264" s="18"/>
      <x:c r="J264" s="18"/>
      <x:c r="K264" s="18"/>
      <x:c r="L264" s="18"/>
      <x:c r="M264" s="18"/>
      <x:c r="N264" s="17"/>
      <x:c r="O264" s="18"/>
      <x:c r="P264" s="18"/>
      <x:c r="Q264" s="18"/>
      <x:c r="R264" s="16"/>
      <x:c r="S264" s="16"/>
      <x:c r="T264" s="16"/>
    </x:row>
    <x:row r="265">
      <x:c r="A265" s="16" t="str">
        <x:v>吉安市</x:v>
      </x:c>
      <x:c r="B265" s="16" t="str">
        <x:v>安福县</x:v>
      </x:c>
      <x:c r="C265" s="17" t="n">
        <x:v>2025</x:v>
      </x:c>
      <x:c r="D265" s="18"/>
      <x:c r="E265" s="18"/>
      <x:c r="F265" s="17"/>
      <x:c r="G265" s="18"/>
      <x:c r="H265" s="18"/>
      <x:c r="I265" s="18"/>
      <x:c r="J265" s="18"/>
      <x:c r="K265" s="18"/>
      <x:c r="L265" s="18"/>
      <x:c r="M265" s="18"/>
      <x:c r="N265" s="17"/>
      <x:c r="O265" s="18"/>
      <x:c r="P265" s="18"/>
      <x:c r="Q265" s="18"/>
      <x:c r="R265" s="16"/>
      <x:c r="S265" s="16"/>
      <x:c r="T265" s="16"/>
    </x:row>
    <x:row r="266">
      <x:c r="A266" s="16" t="str">
        <x:v>吉安市</x:v>
      </x:c>
      <x:c r="B266" s="16" t="str">
        <x:v>永新县</x:v>
      </x:c>
      <x:c r="C266" s="17" t="n">
        <x:v>2020</x:v>
      </x:c>
      <x:c r="D266" s="18"/>
      <x:c r="E266" s="18"/>
      <x:c r="F266" s="17"/>
      <x:c r="G266" s="18"/>
      <x:c r="H266" s="18"/>
      <x:c r="I266" s="18"/>
      <x:c r="J266" s="18"/>
      <x:c r="K266" s="18"/>
      <x:c r="L266" s="18"/>
      <x:c r="M266" s="18"/>
      <x:c r="N266" s="17"/>
      <x:c r="O266" s="18"/>
      <x:c r="P266" s="18"/>
      <x:c r="Q266" s="18"/>
      <x:c r="R266" s="16"/>
      <x:c r="S266" s="16"/>
      <x:c r="T266" s="16"/>
    </x:row>
    <x:row r="267">
      <x:c r="A267" s="16" t="str">
        <x:v>吉安市</x:v>
      </x:c>
      <x:c r="B267" s="16" t="str">
        <x:v>永新县</x:v>
      </x:c>
      <x:c r="C267" s="17" t="n">
        <x:v>2021</x:v>
      </x:c>
      <x:c r="D267" s="18"/>
      <x:c r="E267" s="18"/>
      <x:c r="F267" s="17"/>
      <x:c r="G267" s="18"/>
      <x:c r="H267" s="18"/>
      <x:c r="I267" s="18"/>
      <x:c r="J267" s="18"/>
      <x:c r="K267" s="18"/>
      <x:c r="L267" s="18"/>
      <x:c r="M267" s="18"/>
      <x:c r="N267" s="17"/>
      <x:c r="O267" s="18"/>
      <x:c r="P267" s="18"/>
      <x:c r="Q267" s="18"/>
      <x:c r="R267" s="16"/>
      <x:c r="S267" s="16"/>
      <x:c r="T267" s="16"/>
    </x:row>
    <x:row r="268">
      <x:c r="A268" s="16" t="str">
        <x:v>吉安市</x:v>
      </x:c>
      <x:c r="B268" s="16" t="str">
        <x:v>永新县</x:v>
      </x:c>
      <x:c r="C268" s="17" t="n">
        <x:v>2022</x:v>
      </x:c>
      <x:c r="D268" s="18" t="n">
        <x:v>146.58</x:v>
      </x:c>
      <x:c r="E268" s="18"/>
      <x:c r="F268" s="17"/>
      <x:c r="G268" s="18"/>
      <x:c r="H268" s="18"/>
      <x:c r="I268" s="18"/>
      <x:c r="J268" s="18"/>
      <x:c r="K268" s="18"/>
      <x:c r="L268" s="18"/>
      <x:c r="M268" s="18"/>
      <x:c r="N268" s="17"/>
      <x:c r="O268" s="18"/>
      <x:c r="P268" s="18"/>
      <x:c r="Q268" s="18"/>
      <x:c r="R268" s="16" t="str">
        <x:v>B</x:v>
      </x:c>
      <x:c r="S268" s="16" t="str">
        <x:v>https://www.maigoo.com/news/672853.html</x:v>
      </x:c>
      <x:c r="T268" s="16" t="str">
        <x:v>吉安县域GDP聚合</x:v>
      </x:c>
    </x:row>
    <x:row r="269">
      <x:c r="A269" s="16" t="str">
        <x:v>吉安市</x:v>
      </x:c>
      <x:c r="B269" s="16" t="str">
        <x:v>永新县</x:v>
      </x:c>
      <x:c r="C269" s="17" t="n">
        <x:v>2023</x:v>
      </x:c>
      <x:c r="D269" s="18"/>
      <x:c r="E269" s="18"/>
      <x:c r="F269" s="17"/>
      <x:c r="G269" s="18"/>
      <x:c r="H269" s="18"/>
      <x:c r="I269" s="18"/>
      <x:c r="J269" s="18"/>
      <x:c r="K269" s="18"/>
      <x:c r="L269" s="18"/>
      <x:c r="M269" s="18"/>
      <x:c r="N269" s="17"/>
      <x:c r="O269" s="18"/>
      <x:c r="P269" s="18"/>
      <x:c r="Q269" s="18"/>
      <x:c r="R269" s="16"/>
      <x:c r="S269" s="16"/>
      <x:c r="T269" s="16"/>
    </x:row>
    <x:row r="270">
      <x:c r="A270" s="16" t="str">
        <x:v>吉安市</x:v>
      </x:c>
      <x:c r="B270" s="16" t="str">
        <x:v>永新县</x:v>
      </x:c>
      <x:c r="C270" s="17" t="n">
        <x:v>2024</x:v>
      </x:c>
      <x:c r="D270" s="18"/>
      <x:c r="E270" s="18"/>
      <x:c r="F270" s="17"/>
      <x:c r="G270" s="18"/>
      <x:c r="H270" s="18"/>
      <x:c r="I270" s="18"/>
      <x:c r="J270" s="18"/>
      <x:c r="K270" s="18"/>
      <x:c r="L270" s="18"/>
      <x:c r="M270" s="18"/>
      <x:c r="N270" s="17"/>
      <x:c r="O270" s="18"/>
      <x:c r="P270" s="18"/>
      <x:c r="Q270" s="18"/>
      <x:c r="R270" s="16"/>
      <x:c r="S270" s="16"/>
      <x:c r="T270" s="16"/>
    </x:row>
    <x:row r="271">
      <x:c r="A271" s="16" t="str">
        <x:v>吉安市</x:v>
      </x:c>
      <x:c r="B271" s="16" t="str">
        <x:v>永新县</x:v>
      </x:c>
      <x:c r="C271" s="17" t="n">
        <x:v>2025</x:v>
      </x:c>
      <x:c r="D271" s="18"/>
      <x:c r="E271" s="18"/>
      <x:c r="F271" s="17"/>
      <x:c r="G271" s="18"/>
      <x:c r="H271" s="18"/>
      <x:c r="I271" s="18"/>
      <x:c r="J271" s="18"/>
      <x:c r="K271" s="18"/>
      <x:c r="L271" s="18"/>
      <x:c r="M271" s="18"/>
      <x:c r="N271" s="17"/>
      <x:c r="O271" s="18"/>
      <x:c r="P271" s="18"/>
      <x:c r="Q271" s="18"/>
      <x:c r="R271" s="16"/>
      <x:c r="S271" s="16"/>
      <x:c r="T271" s="16"/>
    </x:row>
    <x:row r="272">
      <x:c r="A272" s="16" t="str">
        <x:v>吉安市</x:v>
      </x:c>
      <x:c r="B272" s="16" t="str">
        <x:v>井冈山市</x:v>
      </x:c>
      <x:c r="C272" s="17" t="n">
        <x:v>2020</x:v>
      </x:c>
      <x:c r="D272" s="18"/>
      <x:c r="E272" s="18"/>
      <x:c r="F272" s="17"/>
      <x:c r="G272" s="18"/>
      <x:c r="H272" s="18"/>
      <x:c r="I272" s="18"/>
      <x:c r="J272" s="18"/>
      <x:c r="K272" s="18"/>
      <x:c r="L272" s="18"/>
      <x:c r="M272" s="18"/>
      <x:c r="N272" s="17"/>
      <x:c r="O272" s="18"/>
      <x:c r="P272" s="18"/>
      <x:c r="Q272" s="18"/>
      <x:c r="R272" s="16"/>
      <x:c r="S272" s="16"/>
      <x:c r="T272" s="16"/>
    </x:row>
    <x:row r="273">
      <x:c r="A273" s="16" t="str">
        <x:v>吉安市</x:v>
      </x:c>
      <x:c r="B273" s="16" t="str">
        <x:v>井冈山市</x:v>
      </x:c>
      <x:c r="C273" s="17" t="n">
        <x:v>2021</x:v>
      </x:c>
      <x:c r="D273" s="18"/>
      <x:c r="E273" s="18"/>
      <x:c r="F273" s="17"/>
      <x:c r="G273" s="18"/>
      <x:c r="H273" s="18"/>
      <x:c r="I273" s="18"/>
      <x:c r="J273" s="18"/>
      <x:c r="K273" s="18"/>
      <x:c r="L273" s="18"/>
      <x:c r="M273" s="18"/>
      <x:c r="N273" s="17"/>
      <x:c r="O273" s="18"/>
      <x:c r="P273" s="18"/>
      <x:c r="Q273" s="18"/>
      <x:c r="R273" s="16"/>
      <x:c r="S273" s="16"/>
      <x:c r="T273" s="16"/>
    </x:row>
    <x:row r="274">
      <x:c r="A274" s="16" t="str">
        <x:v>吉安市</x:v>
      </x:c>
      <x:c r="B274" s="16" t="str">
        <x:v>井冈山市</x:v>
      </x:c>
      <x:c r="C274" s="17" t="n">
        <x:v>2022</x:v>
      </x:c>
      <x:c r="D274" s="18" t="n">
        <x:v>100.1737</x:v>
      </x:c>
      <x:c r="E274" s="18"/>
      <x:c r="F274" s="17"/>
      <x:c r="G274" s="18"/>
      <x:c r="H274" s="18"/>
      <x:c r="I274" s="18"/>
      <x:c r="J274" s="18"/>
      <x:c r="K274" s="18"/>
      <x:c r="L274" s="18"/>
      <x:c r="M274" s="18"/>
      <x:c r="N274" s="17"/>
      <x:c r="O274" s="18"/>
      <x:c r="P274" s="18"/>
      <x:c r="Q274" s="18"/>
      <x:c r="R274" s="16" t="str">
        <x:v>C</x:v>
      </x:c>
      <x:c r="S274" s="16" t="str">
        <x:v>https://www.hongheiku.com/xianjirank/jxsgdp.html</x:v>
      </x:c>
      <x:c r="T274" s="16" t="str">
        <x:v>历史排行页；待官方年鉴替换</x:v>
      </x:c>
    </x:row>
    <x:row r="275">
      <x:c r="A275" s="16" t="str">
        <x:v>吉安市</x:v>
      </x:c>
      <x:c r="B275" s="16" t="str">
        <x:v>井冈山市</x:v>
      </x:c>
      <x:c r="C275" s="17" t="n">
        <x:v>2023</x:v>
      </x:c>
      <x:c r="D275" s="18"/>
      <x:c r="E275" s="18"/>
      <x:c r="F275" s="17"/>
      <x:c r="G275" s="18"/>
      <x:c r="H275" s="18"/>
      <x:c r="I275" s="18"/>
      <x:c r="J275" s="18"/>
      <x:c r="K275" s="18"/>
      <x:c r="L275" s="18"/>
      <x:c r="M275" s="18"/>
      <x:c r="N275" s="17"/>
      <x:c r="O275" s="18"/>
      <x:c r="P275" s="18"/>
      <x:c r="Q275" s="18"/>
      <x:c r="R275" s="16"/>
      <x:c r="S275" s="16"/>
      <x:c r="T275" s="16"/>
    </x:row>
    <x:row r="276">
      <x:c r="A276" s="16" t="str">
        <x:v>吉安市</x:v>
      </x:c>
      <x:c r="B276" s="16" t="str">
        <x:v>井冈山市</x:v>
      </x:c>
      <x:c r="C276" s="17" t="n">
        <x:v>2024</x:v>
      </x:c>
      <x:c r="D276" s="18"/>
      <x:c r="E276" s="18"/>
      <x:c r="F276" s="17"/>
      <x:c r="G276" s="18"/>
      <x:c r="H276" s="18"/>
      <x:c r="I276" s="18"/>
      <x:c r="J276" s="18"/>
      <x:c r="K276" s="18"/>
      <x:c r="L276" s="18"/>
      <x:c r="M276" s="18"/>
      <x:c r="N276" s="17"/>
      <x:c r="O276" s="18"/>
      <x:c r="P276" s="18"/>
      <x:c r="Q276" s="18"/>
      <x:c r="R276" s="16"/>
      <x:c r="S276" s="16"/>
      <x:c r="T276" s="16"/>
    </x:row>
    <x:row r="277">
      <x:c r="A277" s="16" t="str">
        <x:v>吉安市</x:v>
      </x:c>
      <x:c r="B277" s="16" t="str">
        <x:v>井冈山市</x:v>
      </x:c>
      <x:c r="C277" s="17" t="n">
        <x:v>2025</x:v>
      </x:c>
      <x:c r="D277" s="18"/>
      <x:c r="E277" s="18"/>
      <x:c r="F277" s="17"/>
      <x:c r="G277" s="18"/>
      <x:c r="H277" s="18"/>
      <x:c r="I277" s="18"/>
      <x:c r="J277" s="18"/>
      <x:c r="K277" s="18"/>
      <x:c r="L277" s="18"/>
      <x:c r="M277" s="18"/>
      <x:c r="N277" s="17"/>
      <x:c r="O277" s="18"/>
      <x:c r="P277" s="18"/>
      <x:c r="Q277" s="18"/>
      <x:c r="R277" s="16"/>
      <x:c r="S277" s="16"/>
      <x:c r="T277" s="16"/>
    </x:row>
    <x:row r="278">
      <x:c r="A278" s="16" t="str">
        <x:v>宜春市</x:v>
      </x:c>
      <x:c r="B278" s="16" t="str">
        <x:v>丰城市</x:v>
      </x:c>
      <x:c r="C278" s="17" t="n">
        <x:v>2020</x:v>
      </x:c>
      <x:c r="D278" s="18" t="n">
        <x:v>535.2</x:v>
      </x:c>
      <x:c r="E278" s="18"/>
      <x:c r="F278" s="17"/>
      <x:c r="G278" s="18"/>
      <x:c r="H278" s="18"/>
      <x:c r="I278" s="18"/>
      <x:c r="J278" s="18"/>
      <x:c r="K278" s="18"/>
      <x:c r="L278" s="18"/>
      <x:c r="M278" s="18"/>
      <x:c r="N278" s="17"/>
      <x:c r="O278" s="18"/>
      <x:c r="P278" s="18"/>
      <x:c r="Q278" s="18"/>
      <x:c r="R278" s="16" t="str">
        <x:v>B</x:v>
      </x:c>
      <x:c r="S278" s="16" t="str">
        <x:v>https://www.maigoo.com/news/608920.html</x:v>
      </x:c>
      <x:c r="T278" s="16" t="str">
        <x:v>GDP排行聚合，来源各地统计公报</x:v>
      </x:c>
    </x:row>
    <x:row r="279">
      <x:c r="A279" s="16" t="str">
        <x:v>宜春市</x:v>
      </x:c>
      <x:c r="B279" s="16" t="str">
        <x:v>丰城市</x:v>
      </x:c>
      <x:c r="C279" s="17" t="n">
        <x:v>2021</x:v>
      </x:c>
      <x:c r="D279" s="18" t="n">
        <x:v>612.93</x:v>
      </x:c>
      <x:c r="E279" s="18"/>
      <x:c r="F279" s="17"/>
      <x:c r="G279" s="18"/>
      <x:c r="H279" s="18"/>
      <x:c r="I279" s="18"/>
      <x:c r="J279" s="18"/>
      <x:c r="K279" s="18"/>
      <x:c r="L279" s="18"/>
      <x:c r="M279" s="18"/>
      <x:c r="N279" s="17"/>
      <x:c r="O279" s="18"/>
      <x:c r="P279" s="18"/>
      <x:c r="Q279" s="18"/>
      <x:c r="R279" s="16" t="str">
        <x:v>B</x:v>
      </x:c>
      <x:c r="S279" s="16" t="str">
        <x:v>https://www.maigoo.com/news/632974.html</x:v>
      </x:c>
      <x:c r="T279" s="16" t="str">
        <x:v>GDP排行聚合，来源各地统计公报</x:v>
      </x:c>
    </x:row>
    <x:row r="280">
      <x:c r="A280" s="16" t="str">
        <x:v>宜春市</x:v>
      </x:c>
      <x:c r="B280" s="16" t="str">
        <x:v>丰城市</x:v>
      </x:c>
      <x:c r="C280" s="17" t="n">
        <x:v>2022</x:v>
      </x:c>
      <x:c r="D280" s="18"/>
      <x:c r="E280" s="18"/>
      <x:c r="F280" s="17"/>
      <x:c r="G280" s="18"/>
      <x:c r="H280" s="18"/>
      <x:c r="I280" s="18"/>
      <x:c r="J280" s="18"/>
      <x:c r="K280" s="18"/>
      <x:c r="L280" s="18"/>
      <x:c r="M280" s="18"/>
      <x:c r="N280" s="17"/>
      <x:c r="O280" s="18"/>
      <x:c r="P280" s="18"/>
      <x:c r="Q280" s="18"/>
      <x:c r="R280" s="16"/>
      <x:c r="S280" s="16"/>
      <x:c r="T280" s="16"/>
    </x:row>
    <x:row r="281">
      <x:c r="A281" s="16" t="str">
        <x:v>宜春市</x:v>
      </x:c>
      <x:c r="B281" s="16" t="str">
        <x:v>丰城市</x:v>
      </x:c>
      <x:c r="C281" s="17" t="n">
        <x:v>2023</x:v>
      </x:c>
      <x:c r="D281" s="18" t="n">
        <x:v>688.76</x:v>
      </x:c>
      <x:c r="E281" s="18"/>
      <x:c r="F281" s="17"/>
      <x:c r="G281" s="18"/>
      <x:c r="H281" s="18"/>
      <x:c r="I281" s="18"/>
      <x:c r="J281" s="18"/>
      <x:c r="K281" s="18"/>
      <x:c r="L281" s="18"/>
      <x:c r="M281" s="18"/>
      <x:c r="N281" s="17"/>
      <x:c r="O281" s="18"/>
      <x:c r="P281" s="18"/>
      <x:c r="Q281" s="18"/>
      <x:c r="R281" s="16" t="str">
        <x:v>B</x:v>
      </x:c>
      <x:c r="S281" s="16" t="str">
        <x:v>https://www.maigoo.com/news/702753.html</x:v>
      </x:c>
      <x:c r="T281" s="16" t="str">
        <x:v>宜春县域GDP聚合</x:v>
      </x:c>
    </x:row>
    <x:row r="282">
      <x:c r="A282" s="16" t="str">
        <x:v>宜春市</x:v>
      </x:c>
      <x:c r="B282" s="16" t="str">
        <x:v>丰城市</x:v>
      </x:c>
      <x:c r="C282" s="17" t="n">
        <x:v>2024</x:v>
      </x:c>
      <x:c r="D282" s="18"/>
      <x:c r="E282" s="18"/>
      <x:c r="F282" s="17"/>
      <x:c r="G282" s="18"/>
      <x:c r="H282" s="18"/>
      <x:c r="I282" s="18"/>
      <x:c r="J282" s="18"/>
      <x:c r="K282" s="18"/>
      <x:c r="L282" s="18"/>
      <x:c r="M282" s="18"/>
      <x:c r="N282" s="17"/>
      <x:c r="O282" s="18"/>
      <x:c r="P282" s="18"/>
      <x:c r="Q282" s="18"/>
      <x:c r="R282" s="16"/>
      <x:c r="S282" s="16"/>
      <x:c r="T282" s="16"/>
    </x:row>
    <x:row r="283">
      <x:c r="A283" s="16" t="str">
        <x:v>宜春市</x:v>
      </x:c>
      <x:c r="B283" s="16" t="str">
        <x:v>丰城市</x:v>
      </x:c>
      <x:c r="C283" s="17" t="n">
        <x:v>2025</x:v>
      </x:c>
      <x:c r="D283" s="18"/>
      <x:c r="E283" s="18"/>
      <x:c r="F283" s="17"/>
      <x:c r="G283" s="18"/>
      <x:c r="H283" s="18"/>
      <x:c r="I283" s="18"/>
      <x:c r="J283" s="18"/>
      <x:c r="K283" s="18"/>
      <x:c r="L283" s="18"/>
      <x:c r="M283" s="18"/>
      <x:c r="N283" s="17"/>
      <x:c r="O283" s="18"/>
      <x:c r="P283" s="18"/>
      <x:c r="Q283" s="18"/>
      <x:c r="R283" s="16"/>
      <x:c r="S283" s="16"/>
      <x:c r="T283" s="16"/>
    </x:row>
    <x:row r="284">
      <x:c r="A284" s="16" t="str">
        <x:v>宜春市</x:v>
      </x:c>
      <x:c r="B284" s="16" t="str">
        <x:v>樟树市</x:v>
      </x:c>
      <x:c r="C284" s="17" t="n">
        <x:v>2020</x:v>
      </x:c>
      <x:c r="D284" s="18" t="n">
        <x:v>424.7</x:v>
      </x:c>
      <x:c r="E284" s="18"/>
      <x:c r="F284" s="17"/>
      <x:c r="G284" s="18"/>
      <x:c r="H284" s="18"/>
      <x:c r="I284" s="18"/>
      <x:c r="J284" s="18"/>
      <x:c r="K284" s="18"/>
      <x:c r="L284" s="18"/>
      <x:c r="M284" s="18"/>
      <x:c r="N284" s="17"/>
      <x:c r="O284" s="18"/>
      <x:c r="P284" s="18"/>
      <x:c r="Q284" s="18"/>
      <x:c r="R284" s="16" t="str">
        <x:v>B</x:v>
      </x:c>
      <x:c r="S284" s="16" t="str">
        <x:v>https://www.maigoo.com/news/608920.html</x:v>
      </x:c>
      <x:c r="T284" s="16" t="str">
        <x:v>GDP排行聚合，来源各地统计公报</x:v>
      </x:c>
    </x:row>
    <x:row r="285">
      <x:c r="A285" s="16" t="str">
        <x:v>宜春市</x:v>
      </x:c>
      <x:c r="B285" s="16" t="str">
        <x:v>樟树市</x:v>
      </x:c>
      <x:c r="C285" s="17" t="n">
        <x:v>2021</x:v>
      </x:c>
      <x:c r="D285" s="18" t="n">
        <x:v>490.18</x:v>
      </x:c>
      <x:c r="E285" s="18"/>
      <x:c r="F285" s="17"/>
      <x:c r="G285" s="18"/>
      <x:c r="H285" s="18"/>
      <x:c r="I285" s="18"/>
      <x:c r="J285" s="18"/>
      <x:c r="K285" s="18"/>
      <x:c r="L285" s="18"/>
      <x:c r="M285" s="18"/>
      <x:c r="N285" s="17"/>
      <x:c r="O285" s="18"/>
      <x:c r="P285" s="18"/>
      <x:c r="Q285" s="18"/>
      <x:c r="R285" s="16" t="str">
        <x:v>B</x:v>
      </x:c>
      <x:c r="S285" s="16" t="str">
        <x:v>https://www.maigoo.com/news/632974.html</x:v>
      </x:c>
      <x:c r="T285" s="16" t="str">
        <x:v>GDP排行聚合，来源各地统计公报</x:v>
      </x:c>
    </x:row>
    <x:row r="286">
      <x:c r="A286" s="16" t="str">
        <x:v>宜春市</x:v>
      </x:c>
      <x:c r="B286" s="16" t="str">
        <x:v>樟树市</x:v>
      </x:c>
      <x:c r="C286" s="17" t="n">
        <x:v>2022</x:v>
      </x:c>
      <x:c r="D286" s="18"/>
      <x:c r="E286" s="18"/>
      <x:c r="F286" s="17"/>
      <x:c r="G286" s="18"/>
      <x:c r="H286" s="18"/>
      <x:c r="I286" s="18"/>
      <x:c r="J286" s="18"/>
      <x:c r="K286" s="18"/>
      <x:c r="L286" s="18"/>
      <x:c r="M286" s="18"/>
      <x:c r="N286" s="17"/>
      <x:c r="O286" s="18"/>
      <x:c r="P286" s="18"/>
      <x:c r="Q286" s="18"/>
      <x:c r="R286" s="16"/>
      <x:c r="S286" s="16"/>
      <x:c r="T286" s="16"/>
    </x:row>
    <x:row r="287">
      <x:c r="A287" s="16" t="str">
        <x:v>宜春市</x:v>
      </x:c>
      <x:c r="B287" s="16" t="str">
        <x:v>樟树市</x:v>
      </x:c>
      <x:c r="C287" s="17" t="n">
        <x:v>2023</x:v>
      </x:c>
      <x:c r="D287" s="18" t="n">
        <x:v>510.81</x:v>
      </x:c>
      <x:c r="E287" s="18"/>
      <x:c r="F287" s="17"/>
      <x:c r="G287" s="18"/>
      <x:c r="H287" s="18"/>
      <x:c r="I287" s="18"/>
      <x:c r="J287" s="18"/>
      <x:c r="K287" s="18"/>
      <x:c r="L287" s="18"/>
      <x:c r="M287" s="18"/>
      <x:c r="N287" s="17"/>
      <x:c r="O287" s="18"/>
      <x:c r="P287" s="18"/>
      <x:c r="Q287" s="18"/>
      <x:c r="R287" s="16" t="str">
        <x:v>B</x:v>
      </x:c>
      <x:c r="S287" s="16" t="str">
        <x:v>https://www.maigoo.com/news/702753.html</x:v>
      </x:c>
      <x:c r="T287" s="16" t="str">
        <x:v>宜春县域GDP聚合</x:v>
      </x:c>
    </x:row>
    <x:row r="288">
      <x:c r="A288" s="16" t="str">
        <x:v>宜春市</x:v>
      </x:c>
      <x:c r="B288" s="16" t="str">
        <x:v>樟树市</x:v>
      </x:c>
      <x:c r="C288" s="17" t="n">
        <x:v>2024</x:v>
      </x:c>
      <x:c r="D288" s="18"/>
      <x:c r="E288" s="18"/>
      <x:c r="F288" s="17"/>
      <x:c r="G288" s="18"/>
      <x:c r="H288" s="18"/>
      <x:c r="I288" s="18"/>
      <x:c r="J288" s="18"/>
      <x:c r="K288" s="18"/>
      <x:c r="L288" s="18"/>
      <x:c r="M288" s="18"/>
      <x:c r="N288" s="17"/>
      <x:c r="O288" s="18"/>
      <x:c r="P288" s="18"/>
      <x:c r="Q288" s="18"/>
      <x:c r="R288" s="16"/>
      <x:c r="S288" s="16"/>
      <x:c r="T288" s="16"/>
    </x:row>
    <x:row r="289">
      <x:c r="A289" s="16" t="str">
        <x:v>宜春市</x:v>
      </x:c>
      <x:c r="B289" s="16" t="str">
        <x:v>樟树市</x:v>
      </x:c>
      <x:c r="C289" s="17" t="n">
        <x:v>2025</x:v>
      </x:c>
      <x:c r="D289" s="18"/>
      <x:c r="E289" s="18"/>
      <x:c r="F289" s="17"/>
      <x:c r="G289" s="18"/>
      <x:c r="H289" s="18"/>
      <x:c r="I289" s="18"/>
      <x:c r="J289" s="18"/>
      <x:c r="K289" s="18"/>
      <x:c r="L289" s="18"/>
      <x:c r="M289" s="18"/>
      <x:c r="N289" s="17"/>
      <x:c r="O289" s="18"/>
      <x:c r="P289" s="18"/>
      <x:c r="Q289" s="18"/>
      <x:c r="R289" s="16"/>
      <x:c r="S289" s="16"/>
      <x:c r="T289" s="16"/>
    </x:row>
    <x:row r="290">
      <x:c r="A290" s="16" t="str">
        <x:v>宜春市</x:v>
      </x:c>
      <x:c r="B290" s="16" t="str">
        <x:v>高安市</x:v>
      </x:c>
      <x:c r="C290" s="17" t="n">
        <x:v>2020</x:v>
      </x:c>
      <x:c r="D290" s="18" t="n">
        <x:v>468.4</x:v>
      </x:c>
      <x:c r="E290" s="18"/>
      <x:c r="F290" s="17"/>
      <x:c r="G290" s="18"/>
      <x:c r="H290" s="18"/>
      <x:c r="I290" s="18"/>
      <x:c r="J290" s="18"/>
      <x:c r="K290" s="18"/>
      <x:c r="L290" s="18"/>
      <x:c r="M290" s="18"/>
      <x:c r="N290" s="17"/>
      <x:c r="O290" s="18"/>
      <x:c r="P290" s="18"/>
      <x:c r="Q290" s="18"/>
      <x:c r="R290" s="16" t="str">
        <x:v>B</x:v>
      </x:c>
      <x:c r="S290" s="16" t="str">
        <x:v>https://www.maigoo.com/news/608920.html</x:v>
      </x:c>
      <x:c r="T290" s="16" t="str">
        <x:v>GDP排行聚合，来源各地统计公报</x:v>
      </x:c>
    </x:row>
    <x:row r="291">
      <x:c r="A291" s="16" t="str">
        <x:v>宜春市</x:v>
      </x:c>
      <x:c r="B291" s="16" t="str">
        <x:v>高安市</x:v>
      </x:c>
      <x:c r="C291" s="17" t="n">
        <x:v>2021</x:v>
      </x:c>
      <x:c r="D291" s="18" t="n">
        <x:v>529.96</x:v>
      </x:c>
      <x:c r="E291" s="18"/>
      <x:c r="F291" s="17"/>
      <x:c r="G291" s="18"/>
      <x:c r="H291" s="18"/>
      <x:c r="I291" s="18"/>
      <x:c r="J291" s="18"/>
      <x:c r="K291" s="18"/>
      <x:c r="L291" s="18"/>
      <x:c r="M291" s="18"/>
      <x:c r="N291" s="17"/>
      <x:c r="O291" s="18"/>
      <x:c r="P291" s="18"/>
      <x:c r="Q291" s="18"/>
      <x:c r="R291" s="16" t="str">
        <x:v>B</x:v>
      </x:c>
      <x:c r="S291" s="16" t="str">
        <x:v>https://www.maigoo.com/news/632974.html</x:v>
      </x:c>
      <x:c r="T291" s="16" t="str">
        <x:v>GDP排行聚合，来源各地统计公报</x:v>
      </x:c>
    </x:row>
    <x:row r="292">
      <x:c r="A292" s="16" t="str">
        <x:v>宜春市</x:v>
      </x:c>
      <x:c r="B292" s="16" t="str">
        <x:v>高安市</x:v>
      </x:c>
      <x:c r="C292" s="17" t="n">
        <x:v>2022</x:v>
      </x:c>
      <x:c r="D292" s="18"/>
      <x:c r="E292" s="18"/>
      <x:c r="F292" s="17"/>
      <x:c r="G292" s="18"/>
      <x:c r="H292" s="18"/>
      <x:c r="I292" s="18"/>
      <x:c r="J292" s="18"/>
      <x:c r="K292" s="18"/>
      <x:c r="L292" s="18"/>
      <x:c r="M292" s="18"/>
      <x:c r="N292" s="17"/>
      <x:c r="O292" s="18"/>
      <x:c r="P292" s="18"/>
      <x:c r="Q292" s="18"/>
      <x:c r="R292" s="16"/>
      <x:c r="S292" s="16"/>
      <x:c r="T292" s="16"/>
    </x:row>
    <x:row r="293">
      <x:c r="A293" s="16" t="str">
        <x:v>宜春市</x:v>
      </x:c>
      <x:c r="B293" s="16" t="str">
        <x:v>高安市</x:v>
      </x:c>
      <x:c r="C293" s="17" t="n">
        <x:v>2023</x:v>
      </x:c>
      <x:c r="D293" s="18" t="n">
        <x:v>586.91</x:v>
      </x:c>
      <x:c r="E293" s="18"/>
      <x:c r="F293" s="17"/>
      <x:c r="G293" s="18"/>
      <x:c r="H293" s="18"/>
      <x:c r="I293" s="18"/>
      <x:c r="J293" s="18"/>
      <x:c r="K293" s="18"/>
      <x:c r="L293" s="18"/>
      <x:c r="M293" s="18"/>
      <x:c r="N293" s="17"/>
      <x:c r="O293" s="18"/>
      <x:c r="P293" s="18"/>
      <x:c r="Q293" s="18"/>
      <x:c r="R293" s="16" t="str">
        <x:v>B</x:v>
      </x:c>
      <x:c r="S293" s="16" t="str">
        <x:v>https://www.maigoo.com/news/702753.html</x:v>
      </x:c>
      <x:c r="T293" s="16" t="str">
        <x:v>宜春县域GDP聚合</x:v>
      </x:c>
    </x:row>
    <x:row r="294">
      <x:c r="A294" s="16" t="str">
        <x:v>宜春市</x:v>
      </x:c>
      <x:c r="B294" s="16" t="str">
        <x:v>高安市</x:v>
      </x:c>
      <x:c r="C294" s="17" t="n">
        <x:v>2024</x:v>
      </x:c>
      <x:c r="D294" s="18"/>
      <x:c r="E294" s="18"/>
      <x:c r="F294" s="17"/>
      <x:c r="G294" s="18"/>
      <x:c r="H294" s="18"/>
      <x:c r="I294" s="18"/>
      <x:c r="J294" s="18"/>
      <x:c r="K294" s="18"/>
      <x:c r="L294" s="18"/>
      <x:c r="M294" s="18"/>
      <x:c r="N294" s="17"/>
      <x:c r="O294" s="18"/>
      <x:c r="P294" s="18"/>
      <x:c r="Q294" s="18"/>
      <x:c r="R294" s="16"/>
      <x:c r="S294" s="16"/>
      <x:c r="T294" s="16"/>
    </x:row>
    <x:row r="295">
      <x:c r="A295" s="16" t="str">
        <x:v>宜春市</x:v>
      </x:c>
      <x:c r="B295" s="16" t="str">
        <x:v>高安市</x:v>
      </x:c>
      <x:c r="C295" s="17" t="n">
        <x:v>2025</x:v>
      </x:c>
      <x:c r="D295" s="18"/>
      <x:c r="E295" s="18"/>
      <x:c r="F295" s="17"/>
      <x:c r="G295" s="18"/>
      <x:c r="H295" s="18"/>
      <x:c r="I295" s="18"/>
      <x:c r="J295" s="18"/>
      <x:c r="K295" s="18"/>
      <x:c r="L295" s="18"/>
      <x:c r="M295" s="18"/>
      <x:c r="N295" s="17"/>
      <x:c r="O295" s="18"/>
      <x:c r="P295" s="18"/>
      <x:c r="Q295" s="18"/>
      <x:c r="R295" s="16"/>
      <x:c r="S295" s="16"/>
      <x:c r="T295" s="16"/>
    </x:row>
    <x:row r="296">
      <x:c r="A296" s="16" t="str">
        <x:v>宜春市</x:v>
      </x:c>
      <x:c r="B296" s="16" t="str">
        <x:v>奉新县</x:v>
      </x:c>
      <x:c r="C296" s="17" t="n">
        <x:v>2020</x:v>
      </x:c>
      <x:c r="D296" s="18"/>
      <x:c r="E296" s="18"/>
      <x:c r="F296" s="17"/>
      <x:c r="G296" s="18"/>
      <x:c r="H296" s="18"/>
      <x:c r="I296" s="18"/>
      <x:c r="J296" s="18"/>
      <x:c r="K296" s="18"/>
      <x:c r="L296" s="18"/>
      <x:c r="M296" s="18"/>
      <x:c r="N296" s="17"/>
      <x:c r="O296" s="18"/>
      <x:c r="P296" s="18"/>
      <x:c r="Q296" s="18"/>
      <x:c r="R296" s="16"/>
      <x:c r="S296" s="16"/>
      <x:c r="T296" s="16"/>
    </x:row>
    <x:row r="297">
      <x:c r="A297" s="16" t="str">
        <x:v>宜春市</x:v>
      </x:c>
      <x:c r="B297" s="16" t="str">
        <x:v>奉新县</x:v>
      </x:c>
      <x:c r="C297" s="17" t="n">
        <x:v>2021</x:v>
      </x:c>
      <x:c r="D297" s="18"/>
      <x:c r="E297" s="18"/>
      <x:c r="F297" s="17"/>
      <x:c r="G297" s="18"/>
      <x:c r="H297" s="18"/>
      <x:c r="I297" s="18"/>
      <x:c r="J297" s="18"/>
      <x:c r="K297" s="18"/>
      <x:c r="L297" s="18"/>
      <x:c r="M297" s="18"/>
      <x:c r="N297" s="17"/>
      <x:c r="O297" s="18"/>
      <x:c r="P297" s="18"/>
      <x:c r="Q297" s="18"/>
      <x:c r="R297" s="16"/>
      <x:c r="S297" s="16"/>
      <x:c r="T297" s="16"/>
    </x:row>
    <x:row r="298">
      <x:c r="A298" s="16" t="str">
        <x:v>宜春市</x:v>
      </x:c>
      <x:c r="B298" s="16" t="str">
        <x:v>奉新县</x:v>
      </x:c>
      <x:c r="C298" s="17" t="n">
        <x:v>2022</x:v>
      </x:c>
      <x:c r="D298" s="18"/>
      <x:c r="E298" s="18"/>
      <x:c r="F298" s="17"/>
      <x:c r="G298" s="18"/>
      <x:c r="H298" s="18"/>
      <x:c r="I298" s="18"/>
      <x:c r="J298" s="18"/>
      <x:c r="K298" s="18"/>
      <x:c r="L298" s="18"/>
      <x:c r="M298" s="18"/>
      <x:c r="N298" s="17"/>
      <x:c r="O298" s="18"/>
      <x:c r="P298" s="18"/>
      <x:c r="Q298" s="18"/>
      <x:c r="R298" s="16"/>
      <x:c r="S298" s="16"/>
      <x:c r="T298" s="16"/>
    </x:row>
    <x:row r="299">
      <x:c r="A299" s="16" t="str">
        <x:v>宜春市</x:v>
      </x:c>
      <x:c r="B299" s="16" t="str">
        <x:v>奉新县</x:v>
      </x:c>
      <x:c r="C299" s="17" t="n">
        <x:v>2023</x:v>
      </x:c>
      <x:c r="D299" s="18" t="n">
        <x:v>236.47</x:v>
      </x:c>
      <x:c r="E299" s="18"/>
      <x:c r="F299" s="17"/>
      <x:c r="G299" s="18"/>
      <x:c r="H299" s="18"/>
      <x:c r="I299" s="18"/>
      <x:c r="J299" s="18"/>
      <x:c r="K299" s="18"/>
      <x:c r="L299" s="18"/>
      <x:c r="M299" s="18"/>
      <x:c r="N299" s="17"/>
      <x:c r="O299" s="18"/>
      <x:c r="P299" s="18"/>
      <x:c r="Q299" s="18"/>
      <x:c r="R299" s="16" t="str">
        <x:v>B</x:v>
      </x:c>
      <x:c r="S299" s="16" t="str">
        <x:v>https://www.maigoo.com/news/702753.html</x:v>
      </x:c>
      <x:c r="T299" s="16" t="str">
        <x:v>宜春县域GDP聚合</x:v>
      </x:c>
    </x:row>
    <x:row r="300">
      <x:c r="A300" s="16" t="str">
        <x:v>宜春市</x:v>
      </x:c>
      <x:c r="B300" s="16" t="str">
        <x:v>奉新县</x:v>
      </x:c>
      <x:c r="C300" s="17" t="n">
        <x:v>2024</x:v>
      </x:c>
      <x:c r="D300" s="18"/>
      <x:c r="E300" s="18"/>
      <x:c r="F300" s="17"/>
      <x:c r="G300" s="18"/>
      <x:c r="H300" s="18"/>
      <x:c r="I300" s="18"/>
      <x:c r="J300" s="18"/>
      <x:c r="K300" s="18"/>
      <x:c r="L300" s="18"/>
      <x:c r="M300" s="18"/>
      <x:c r="N300" s="17"/>
      <x:c r="O300" s="18"/>
      <x:c r="P300" s="18"/>
      <x:c r="Q300" s="18"/>
      <x:c r="R300" s="16"/>
      <x:c r="S300" s="16"/>
      <x:c r="T300" s="16"/>
    </x:row>
    <x:row r="301">
      <x:c r="A301" s="16" t="str">
        <x:v>宜春市</x:v>
      </x:c>
      <x:c r="B301" s="16" t="str">
        <x:v>奉新县</x:v>
      </x:c>
      <x:c r="C301" s="17" t="n">
        <x:v>2025</x:v>
      </x:c>
      <x:c r="D301" s="18"/>
      <x:c r="E301" s="18"/>
      <x:c r="F301" s="17"/>
      <x:c r="G301" s="18"/>
      <x:c r="H301" s="18"/>
      <x:c r="I301" s="18"/>
      <x:c r="J301" s="18"/>
      <x:c r="K301" s="18"/>
      <x:c r="L301" s="18"/>
      <x:c r="M301" s="18"/>
      <x:c r="N301" s="17"/>
      <x:c r="O301" s="18"/>
      <x:c r="P301" s="18"/>
      <x:c r="Q301" s="18"/>
      <x:c r="R301" s="16"/>
      <x:c r="S301" s="16"/>
      <x:c r="T301" s="16"/>
    </x:row>
    <x:row r="302">
      <x:c r="A302" s="16" t="str">
        <x:v>宜春市</x:v>
      </x:c>
      <x:c r="B302" s="16" t="str">
        <x:v>万载县</x:v>
      </x:c>
      <x:c r="C302" s="17" t="n">
        <x:v>2020</x:v>
      </x:c>
      <x:c r="D302" s="18"/>
      <x:c r="E302" s="18"/>
      <x:c r="F302" s="17"/>
      <x:c r="G302" s="18"/>
      <x:c r="H302" s="18"/>
      <x:c r="I302" s="18"/>
      <x:c r="J302" s="18"/>
      <x:c r="K302" s="18"/>
      <x:c r="L302" s="18"/>
      <x:c r="M302" s="18"/>
      <x:c r="N302" s="17"/>
      <x:c r="O302" s="18"/>
      <x:c r="P302" s="18"/>
      <x:c r="Q302" s="18"/>
      <x:c r="R302" s="16"/>
      <x:c r="S302" s="16"/>
      <x:c r="T302" s="16"/>
    </x:row>
    <x:row r="303">
      <x:c r="A303" s="16" t="str">
        <x:v>宜春市</x:v>
      </x:c>
      <x:c r="B303" s="16" t="str">
        <x:v>万载县</x:v>
      </x:c>
      <x:c r="C303" s="17" t="n">
        <x:v>2021</x:v>
      </x:c>
      <x:c r="D303" s="18"/>
      <x:c r="E303" s="18"/>
      <x:c r="F303" s="17"/>
      <x:c r="G303" s="18"/>
      <x:c r="H303" s="18"/>
      <x:c r="I303" s="18"/>
      <x:c r="J303" s="18"/>
      <x:c r="K303" s="18"/>
      <x:c r="L303" s="18"/>
      <x:c r="M303" s="18"/>
      <x:c r="N303" s="17"/>
      <x:c r="O303" s="18"/>
      <x:c r="P303" s="18"/>
      <x:c r="Q303" s="18"/>
      <x:c r="R303" s="16"/>
      <x:c r="S303" s="16"/>
      <x:c r="T303" s="16"/>
    </x:row>
    <x:row r="304">
      <x:c r="A304" s="16" t="str">
        <x:v>宜春市</x:v>
      </x:c>
      <x:c r="B304" s="16" t="str">
        <x:v>万载县</x:v>
      </x:c>
      <x:c r="C304" s="17" t="n">
        <x:v>2022</x:v>
      </x:c>
      <x:c r="D304" s="18"/>
      <x:c r="E304" s="18"/>
      <x:c r="F304" s="17"/>
      <x:c r="G304" s="18"/>
      <x:c r="H304" s="18"/>
      <x:c r="I304" s="18"/>
      <x:c r="J304" s="18"/>
      <x:c r="K304" s="18"/>
      <x:c r="L304" s="18"/>
      <x:c r="M304" s="18"/>
      <x:c r="N304" s="17"/>
      <x:c r="O304" s="18"/>
      <x:c r="P304" s="18"/>
      <x:c r="Q304" s="18"/>
      <x:c r="R304" s="16"/>
      <x:c r="S304" s="16"/>
      <x:c r="T304" s="16"/>
    </x:row>
    <x:row r="305">
      <x:c r="A305" s="16" t="str">
        <x:v>宜春市</x:v>
      </x:c>
      <x:c r="B305" s="16" t="str">
        <x:v>万载县</x:v>
      </x:c>
      <x:c r="C305" s="17" t="n">
        <x:v>2023</x:v>
      </x:c>
      <x:c r="D305" s="18" t="n">
        <x:v>264.57</x:v>
      </x:c>
      <x:c r="E305" s="18"/>
      <x:c r="F305" s="17"/>
      <x:c r="G305" s="18"/>
      <x:c r="H305" s="18"/>
      <x:c r="I305" s="18"/>
      <x:c r="J305" s="18"/>
      <x:c r="K305" s="18"/>
      <x:c r="L305" s="18"/>
      <x:c r="M305" s="18"/>
      <x:c r="N305" s="17"/>
      <x:c r="O305" s="18"/>
      <x:c r="P305" s="18"/>
      <x:c r="Q305" s="18"/>
      <x:c r="R305" s="16" t="str">
        <x:v>B</x:v>
      </x:c>
      <x:c r="S305" s="16" t="str">
        <x:v>https://www.maigoo.com/news/702753.html</x:v>
      </x:c>
      <x:c r="T305" s="16" t="str">
        <x:v>宜春县域GDP聚合</x:v>
      </x:c>
    </x:row>
    <x:row r="306">
      <x:c r="A306" s="16" t="str">
        <x:v>宜春市</x:v>
      </x:c>
      <x:c r="B306" s="16" t="str">
        <x:v>万载县</x:v>
      </x:c>
      <x:c r="C306" s="17" t="n">
        <x:v>2024</x:v>
      </x:c>
      <x:c r="D306" s="18"/>
      <x:c r="E306" s="18"/>
      <x:c r="F306" s="17"/>
      <x:c r="G306" s="18"/>
      <x:c r="H306" s="18"/>
      <x:c r="I306" s="18"/>
      <x:c r="J306" s="18"/>
      <x:c r="K306" s="18"/>
      <x:c r="L306" s="18"/>
      <x:c r="M306" s="18"/>
      <x:c r="N306" s="17"/>
      <x:c r="O306" s="18"/>
      <x:c r="P306" s="18"/>
      <x:c r="Q306" s="18"/>
      <x:c r="R306" s="16"/>
      <x:c r="S306" s="16"/>
      <x:c r="T306" s="16"/>
    </x:row>
    <x:row r="307">
      <x:c r="A307" s="16" t="str">
        <x:v>宜春市</x:v>
      </x:c>
      <x:c r="B307" s="16" t="str">
        <x:v>万载县</x:v>
      </x:c>
      <x:c r="C307" s="17" t="n">
        <x:v>2025</x:v>
      </x:c>
      <x:c r="D307" s="18"/>
      <x:c r="E307" s="18"/>
      <x:c r="F307" s="17"/>
      <x:c r="G307" s="18"/>
      <x:c r="H307" s="18"/>
      <x:c r="I307" s="18"/>
      <x:c r="J307" s="18"/>
      <x:c r="K307" s="18"/>
      <x:c r="L307" s="18"/>
      <x:c r="M307" s="18"/>
      <x:c r="N307" s="17"/>
      <x:c r="O307" s="18"/>
      <x:c r="P307" s="18"/>
      <x:c r="Q307" s="18"/>
      <x:c r="R307" s="16"/>
      <x:c r="S307" s="16"/>
      <x:c r="T307" s="16"/>
    </x:row>
    <x:row r="308">
      <x:c r="A308" s="16" t="str">
        <x:v>宜春市</x:v>
      </x:c>
      <x:c r="B308" s="16" t="str">
        <x:v>上高县</x:v>
      </x:c>
      <x:c r="C308" s="17" t="n">
        <x:v>2020</x:v>
      </x:c>
      <x:c r="D308" s="18"/>
      <x:c r="E308" s="18"/>
      <x:c r="F308" s="17"/>
      <x:c r="G308" s="18"/>
      <x:c r="H308" s="18"/>
      <x:c r="I308" s="18"/>
      <x:c r="J308" s="18"/>
      <x:c r="K308" s="18"/>
      <x:c r="L308" s="18"/>
      <x:c r="M308" s="18"/>
      <x:c r="N308" s="17"/>
      <x:c r="O308" s="18"/>
      <x:c r="P308" s="18"/>
      <x:c r="Q308" s="18"/>
      <x:c r="R308" s="16"/>
      <x:c r="S308" s="16"/>
      <x:c r="T308" s="16"/>
    </x:row>
    <x:row r="309">
      <x:c r="A309" s="16" t="str">
        <x:v>宜春市</x:v>
      </x:c>
      <x:c r="B309" s="16" t="str">
        <x:v>上高县</x:v>
      </x:c>
      <x:c r="C309" s="17" t="n">
        <x:v>2021</x:v>
      </x:c>
      <x:c r="D309" s="18"/>
      <x:c r="E309" s="18"/>
      <x:c r="F309" s="17"/>
      <x:c r="G309" s="18"/>
      <x:c r="H309" s="18"/>
      <x:c r="I309" s="18"/>
      <x:c r="J309" s="18"/>
      <x:c r="K309" s="18"/>
      <x:c r="L309" s="18"/>
      <x:c r="M309" s="18"/>
      <x:c r="N309" s="17"/>
      <x:c r="O309" s="18"/>
      <x:c r="P309" s="18"/>
      <x:c r="Q309" s="18"/>
      <x:c r="R309" s="16"/>
      <x:c r="S309" s="16"/>
      <x:c r="T309" s="16"/>
    </x:row>
    <x:row r="310">
      <x:c r="A310" s="16" t="str">
        <x:v>宜春市</x:v>
      </x:c>
      <x:c r="B310" s="16" t="str">
        <x:v>上高县</x:v>
      </x:c>
      <x:c r="C310" s="17" t="n">
        <x:v>2022</x:v>
      </x:c>
      <x:c r="D310" s="18"/>
      <x:c r="E310" s="18"/>
      <x:c r="F310" s="17"/>
      <x:c r="G310" s="18"/>
      <x:c r="H310" s="18"/>
      <x:c r="I310" s="18"/>
      <x:c r="J310" s="18"/>
      <x:c r="K310" s="18"/>
      <x:c r="L310" s="18"/>
      <x:c r="M310" s="18"/>
      <x:c r="N310" s="17"/>
      <x:c r="O310" s="18"/>
      <x:c r="P310" s="18"/>
      <x:c r="Q310" s="18"/>
      <x:c r="R310" s="16"/>
      <x:c r="S310" s="16"/>
      <x:c r="T310" s="16"/>
    </x:row>
    <x:row r="311">
      <x:c r="A311" s="16" t="str">
        <x:v>宜春市</x:v>
      </x:c>
      <x:c r="B311" s="16" t="str">
        <x:v>上高县</x:v>
      </x:c>
      <x:c r="C311" s="17" t="n">
        <x:v>2023</x:v>
      </x:c>
      <x:c r="D311" s="18" t="n">
        <x:v>282.12</x:v>
      </x:c>
      <x:c r="E311" s="18"/>
      <x:c r="F311" s="17"/>
      <x:c r="G311" s="18"/>
      <x:c r="H311" s="18"/>
      <x:c r="I311" s="18"/>
      <x:c r="J311" s="18"/>
      <x:c r="K311" s="18"/>
      <x:c r="L311" s="18"/>
      <x:c r="M311" s="18"/>
      <x:c r="N311" s="17"/>
      <x:c r="O311" s="18"/>
      <x:c r="P311" s="18"/>
      <x:c r="Q311" s="18"/>
      <x:c r="R311" s="16" t="str">
        <x:v>B</x:v>
      </x:c>
      <x:c r="S311" s="16" t="str">
        <x:v>https://www.maigoo.com/news/702753.html</x:v>
      </x:c>
      <x:c r="T311" s="16" t="str">
        <x:v>宜春县域GDP聚合</x:v>
      </x:c>
    </x:row>
    <x:row r="312">
      <x:c r="A312" s="16" t="str">
        <x:v>宜春市</x:v>
      </x:c>
      <x:c r="B312" s="16" t="str">
        <x:v>上高县</x:v>
      </x:c>
      <x:c r="C312" s="17" t="n">
        <x:v>2024</x:v>
      </x:c>
      <x:c r="D312" s="18"/>
      <x:c r="E312" s="18"/>
      <x:c r="F312" s="17"/>
      <x:c r="G312" s="18"/>
      <x:c r="H312" s="18"/>
      <x:c r="I312" s="18"/>
      <x:c r="J312" s="18"/>
      <x:c r="K312" s="18"/>
      <x:c r="L312" s="18"/>
      <x:c r="M312" s="18"/>
      <x:c r="N312" s="17"/>
      <x:c r="O312" s="18"/>
      <x:c r="P312" s="18"/>
      <x:c r="Q312" s="18"/>
      <x:c r="R312" s="16"/>
      <x:c r="S312" s="16"/>
      <x:c r="T312" s="16"/>
    </x:row>
    <x:row r="313">
      <x:c r="A313" s="16" t="str">
        <x:v>宜春市</x:v>
      </x:c>
      <x:c r="B313" s="16" t="str">
        <x:v>上高县</x:v>
      </x:c>
      <x:c r="C313" s="17" t="n">
        <x:v>2025</x:v>
      </x:c>
      <x:c r="D313" s="18"/>
      <x:c r="E313" s="18"/>
      <x:c r="F313" s="17"/>
      <x:c r="G313" s="18"/>
      <x:c r="H313" s="18"/>
      <x:c r="I313" s="18"/>
      <x:c r="J313" s="18"/>
      <x:c r="K313" s="18"/>
      <x:c r="L313" s="18"/>
      <x:c r="M313" s="18"/>
      <x:c r="N313" s="17"/>
      <x:c r="O313" s="18"/>
      <x:c r="P313" s="18"/>
      <x:c r="Q313" s="18"/>
      <x:c r="R313" s="16"/>
      <x:c r="S313" s="16"/>
      <x:c r="T313" s="16"/>
    </x:row>
    <x:row r="314">
      <x:c r="A314" s="16" t="str">
        <x:v>宜春市</x:v>
      </x:c>
      <x:c r="B314" s="16" t="str">
        <x:v>宜丰县</x:v>
      </x:c>
      <x:c r="C314" s="17" t="n">
        <x:v>2020</x:v>
      </x:c>
      <x:c r="D314" s="18"/>
      <x:c r="E314" s="18"/>
      <x:c r="F314" s="17"/>
      <x:c r="G314" s="18"/>
      <x:c r="H314" s="18"/>
      <x:c r="I314" s="18"/>
      <x:c r="J314" s="18"/>
      <x:c r="K314" s="18"/>
      <x:c r="L314" s="18"/>
      <x:c r="M314" s="18"/>
      <x:c r="N314" s="17"/>
      <x:c r="O314" s="18"/>
      <x:c r="P314" s="18"/>
      <x:c r="Q314" s="18"/>
      <x:c r="R314" s="16"/>
      <x:c r="S314" s="16"/>
      <x:c r="T314" s="16"/>
    </x:row>
    <x:row r="315">
      <x:c r="A315" s="16" t="str">
        <x:v>宜春市</x:v>
      </x:c>
      <x:c r="B315" s="16" t="str">
        <x:v>宜丰县</x:v>
      </x:c>
      <x:c r="C315" s="17" t="n">
        <x:v>2021</x:v>
      </x:c>
      <x:c r="D315" s="18"/>
      <x:c r="E315" s="18"/>
      <x:c r="F315" s="17"/>
      <x:c r="G315" s="18"/>
      <x:c r="H315" s="18"/>
      <x:c r="I315" s="18"/>
      <x:c r="J315" s="18"/>
      <x:c r="K315" s="18"/>
      <x:c r="L315" s="18"/>
      <x:c r="M315" s="18"/>
      <x:c r="N315" s="17"/>
      <x:c r="O315" s="18"/>
      <x:c r="P315" s="18"/>
      <x:c r="Q315" s="18"/>
      <x:c r="R315" s="16"/>
      <x:c r="S315" s="16"/>
      <x:c r="T315" s="16"/>
    </x:row>
    <x:row r="316">
      <x:c r="A316" s="16" t="str">
        <x:v>宜春市</x:v>
      </x:c>
      <x:c r="B316" s="16" t="str">
        <x:v>宜丰县</x:v>
      </x:c>
      <x:c r="C316" s="17" t="n">
        <x:v>2022</x:v>
      </x:c>
      <x:c r="D316" s="18"/>
      <x:c r="E316" s="18"/>
      <x:c r="F316" s="17"/>
      <x:c r="G316" s="18"/>
      <x:c r="H316" s="18"/>
      <x:c r="I316" s="18"/>
      <x:c r="J316" s="18"/>
      <x:c r="K316" s="18"/>
      <x:c r="L316" s="18"/>
      <x:c r="M316" s="18"/>
      <x:c r="N316" s="17"/>
      <x:c r="O316" s="18"/>
      <x:c r="P316" s="18"/>
      <x:c r="Q316" s="18"/>
      <x:c r="R316" s="16"/>
      <x:c r="S316" s="16"/>
      <x:c r="T316" s="16"/>
    </x:row>
    <x:row r="317">
      <x:c r="A317" s="16" t="str">
        <x:v>宜春市</x:v>
      </x:c>
      <x:c r="B317" s="16" t="str">
        <x:v>宜丰县</x:v>
      </x:c>
      <x:c r="C317" s="17" t="n">
        <x:v>2023</x:v>
      </x:c>
      <x:c r="D317" s="18" t="n">
        <x:v>191.46</x:v>
      </x:c>
      <x:c r="E317" s="18"/>
      <x:c r="F317" s="17"/>
      <x:c r="G317" s="18"/>
      <x:c r="H317" s="18"/>
      <x:c r="I317" s="18"/>
      <x:c r="J317" s="18"/>
      <x:c r="K317" s="18"/>
      <x:c r="L317" s="18"/>
      <x:c r="M317" s="18"/>
      <x:c r="N317" s="17"/>
      <x:c r="O317" s="18"/>
      <x:c r="P317" s="18"/>
      <x:c r="Q317" s="18"/>
      <x:c r="R317" s="16" t="str">
        <x:v>B</x:v>
      </x:c>
      <x:c r="S317" s="16" t="str">
        <x:v>https://www.maigoo.com/news/702753.html</x:v>
      </x:c>
      <x:c r="T317" s="16" t="str">
        <x:v>宜春县域GDP聚合</x:v>
      </x:c>
    </x:row>
    <x:row r="318">
      <x:c r="A318" s="16" t="str">
        <x:v>宜春市</x:v>
      </x:c>
      <x:c r="B318" s="16" t="str">
        <x:v>宜丰县</x:v>
      </x:c>
      <x:c r="C318" s="17" t="n">
        <x:v>2024</x:v>
      </x:c>
      <x:c r="D318" s="18"/>
      <x:c r="E318" s="18"/>
      <x:c r="F318" s="17"/>
      <x:c r="G318" s="18"/>
      <x:c r="H318" s="18"/>
      <x:c r="I318" s="18"/>
      <x:c r="J318" s="18"/>
      <x:c r="K318" s="18"/>
      <x:c r="L318" s="18"/>
      <x:c r="M318" s="18"/>
      <x:c r="N318" s="17"/>
      <x:c r="O318" s="18"/>
      <x:c r="P318" s="18"/>
      <x:c r="Q318" s="18"/>
      <x:c r="R318" s="16"/>
      <x:c r="S318" s="16"/>
      <x:c r="T318" s="16"/>
    </x:row>
    <x:row r="319">
      <x:c r="A319" s="16" t="str">
        <x:v>宜春市</x:v>
      </x:c>
      <x:c r="B319" s="16" t="str">
        <x:v>宜丰县</x:v>
      </x:c>
      <x:c r="C319" s="17" t="n">
        <x:v>2025</x:v>
      </x:c>
      <x:c r="D319" s="18"/>
      <x:c r="E319" s="18"/>
      <x:c r="F319" s="17"/>
      <x:c r="G319" s="18"/>
      <x:c r="H319" s="18"/>
      <x:c r="I319" s="18"/>
      <x:c r="J319" s="18"/>
      <x:c r="K319" s="18"/>
      <x:c r="L319" s="18"/>
      <x:c r="M319" s="18"/>
      <x:c r="N319" s="17"/>
      <x:c r="O319" s="18"/>
      <x:c r="P319" s="18"/>
      <x:c r="Q319" s="18"/>
      <x:c r="R319" s="16"/>
      <x:c r="S319" s="16"/>
      <x:c r="T319" s="16"/>
    </x:row>
    <x:row r="320">
      <x:c r="A320" s="16" t="str">
        <x:v>宜春市</x:v>
      </x:c>
      <x:c r="B320" s="16" t="str">
        <x:v>靖安县</x:v>
      </x:c>
      <x:c r="C320" s="17" t="n">
        <x:v>2020</x:v>
      </x:c>
      <x:c r="D320" s="18"/>
      <x:c r="E320" s="18"/>
      <x:c r="F320" s="17"/>
      <x:c r="G320" s="18"/>
      <x:c r="H320" s="18"/>
      <x:c r="I320" s="18"/>
      <x:c r="J320" s="18"/>
      <x:c r="K320" s="18"/>
      <x:c r="L320" s="18"/>
      <x:c r="M320" s="18"/>
      <x:c r="N320" s="17"/>
      <x:c r="O320" s="18"/>
      <x:c r="P320" s="18"/>
      <x:c r="Q320" s="18"/>
      <x:c r="R320" s="16"/>
      <x:c r="S320" s="16"/>
      <x:c r="T320" s="16"/>
    </x:row>
    <x:row r="321">
      <x:c r="A321" s="16" t="str">
        <x:v>宜春市</x:v>
      </x:c>
      <x:c r="B321" s="16" t="str">
        <x:v>靖安县</x:v>
      </x:c>
      <x:c r="C321" s="17" t="n">
        <x:v>2021</x:v>
      </x:c>
      <x:c r="D321" s="18"/>
      <x:c r="E321" s="18"/>
      <x:c r="F321" s="17"/>
      <x:c r="G321" s="18"/>
      <x:c r="H321" s="18"/>
      <x:c r="I321" s="18"/>
      <x:c r="J321" s="18"/>
      <x:c r="K321" s="18"/>
      <x:c r="L321" s="18"/>
      <x:c r="M321" s="18"/>
      <x:c r="N321" s="17"/>
      <x:c r="O321" s="18"/>
      <x:c r="P321" s="18"/>
      <x:c r="Q321" s="18"/>
      <x:c r="R321" s="16"/>
      <x:c r="S321" s="16"/>
      <x:c r="T321" s="16"/>
    </x:row>
    <x:row r="322">
      <x:c r="A322" s="16" t="str">
        <x:v>宜春市</x:v>
      </x:c>
      <x:c r="B322" s="16" t="str">
        <x:v>靖安县</x:v>
      </x:c>
      <x:c r="C322" s="17" t="n">
        <x:v>2022</x:v>
      </x:c>
      <x:c r="D322" s="18"/>
      <x:c r="E322" s="18"/>
      <x:c r="F322" s="17"/>
      <x:c r="G322" s="18"/>
      <x:c r="H322" s="18"/>
      <x:c r="I322" s="18"/>
      <x:c r="J322" s="18"/>
      <x:c r="K322" s="18"/>
      <x:c r="L322" s="18"/>
      <x:c r="M322" s="18"/>
      <x:c r="N322" s="17"/>
      <x:c r="O322" s="18"/>
      <x:c r="P322" s="18"/>
      <x:c r="Q322" s="18"/>
      <x:c r="R322" s="16"/>
      <x:c r="S322" s="16"/>
      <x:c r="T322" s="16"/>
    </x:row>
    <x:row r="323">
      <x:c r="A323" s="16" t="str">
        <x:v>宜春市</x:v>
      </x:c>
      <x:c r="B323" s="16" t="str">
        <x:v>靖安县</x:v>
      </x:c>
      <x:c r="C323" s="17" t="n">
        <x:v>2023</x:v>
      </x:c>
      <x:c r="D323" s="18" t="n">
        <x:v>84.67</x:v>
      </x:c>
      <x:c r="E323" s="18"/>
      <x:c r="F323" s="17"/>
      <x:c r="G323" s="18"/>
      <x:c r="H323" s="18"/>
      <x:c r="I323" s="18"/>
      <x:c r="J323" s="18"/>
      <x:c r="K323" s="18"/>
      <x:c r="L323" s="18"/>
      <x:c r="M323" s="18"/>
      <x:c r="N323" s="17"/>
      <x:c r="O323" s="18"/>
      <x:c r="P323" s="18"/>
      <x:c r="Q323" s="18"/>
      <x:c r="R323" s="16" t="str">
        <x:v>B</x:v>
      </x:c>
      <x:c r="S323" s="16" t="str">
        <x:v>https://www.maigoo.com/news/702753.html</x:v>
      </x:c>
      <x:c r="T323" s="16" t="str">
        <x:v>宜春县域GDP聚合</x:v>
      </x:c>
    </x:row>
    <x:row r="324">
      <x:c r="A324" s="16" t="str">
        <x:v>宜春市</x:v>
      </x:c>
      <x:c r="B324" s="16" t="str">
        <x:v>靖安县</x:v>
      </x:c>
      <x:c r="C324" s="17" t="n">
        <x:v>2024</x:v>
      </x:c>
      <x:c r="D324" s="18"/>
      <x:c r="E324" s="18"/>
      <x:c r="F324" s="17"/>
      <x:c r="G324" s="18"/>
      <x:c r="H324" s="18"/>
      <x:c r="I324" s="18"/>
      <x:c r="J324" s="18"/>
      <x:c r="K324" s="18"/>
      <x:c r="L324" s="18"/>
      <x:c r="M324" s="18"/>
      <x:c r="N324" s="17"/>
      <x:c r="O324" s="18"/>
      <x:c r="P324" s="18"/>
      <x:c r="Q324" s="18"/>
      <x:c r="R324" s="16"/>
      <x:c r="S324" s="16"/>
      <x:c r="T324" s="16"/>
    </x:row>
    <x:row r="325">
      <x:c r="A325" s="16" t="str">
        <x:v>宜春市</x:v>
      </x:c>
      <x:c r="B325" s="16" t="str">
        <x:v>靖安县</x:v>
      </x:c>
      <x:c r="C325" s="17" t="n">
        <x:v>2025</x:v>
      </x:c>
      <x:c r="D325" s="18"/>
      <x:c r="E325" s="18"/>
      <x:c r="F325" s="17"/>
      <x:c r="G325" s="18"/>
      <x:c r="H325" s="18"/>
      <x:c r="I325" s="18"/>
      <x:c r="J325" s="18"/>
      <x:c r="K325" s="18"/>
      <x:c r="L325" s="18"/>
      <x:c r="M325" s="18"/>
      <x:c r="N325" s="17"/>
      <x:c r="O325" s="18"/>
      <x:c r="P325" s="18"/>
      <x:c r="Q325" s="18"/>
      <x:c r="R325" s="16"/>
      <x:c r="S325" s="16"/>
      <x:c r="T325" s="16"/>
    </x:row>
    <x:row r="326">
      <x:c r="A326" s="16" t="str">
        <x:v>宜春市</x:v>
      </x:c>
      <x:c r="B326" s="16" t="str">
        <x:v>铜鼓县</x:v>
      </x:c>
      <x:c r="C326" s="17" t="n">
        <x:v>2020</x:v>
      </x:c>
      <x:c r="D326" s="18"/>
      <x:c r="E326" s="18"/>
      <x:c r="F326" s="17"/>
      <x:c r="G326" s="18"/>
      <x:c r="H326" s="18"/>
      <x:c r="I326" s="18"/>
      <x:c r="J326" s="18"/>
      <x:c r="K326" s="18"/>
      <x:c r="L326" s="18"/>
      <x:c r="M326" s="18"/>
      <x:c r="N326" s="17"/>
      <x:c r="O326" s="18"/>
      <x:c r="P326" s="18"/>
      <x:c r="Q326" s="18"/>
      <x:c r="R326" s="16"/>
      <x:c r="S326" s="16"/>
      <x:c r="T326" s="16"/>
    </x:row>
    <x:row r="327">
      <x:c r="A327" s="16" t="str">
        <x:v>宜春市</x:v>
      </x:c>
      <x:c r="B327" s="16" t="str">
        <x:v>铜鼓县</x:v>
      </x:c>
      <x:c r="C327" s="17" t="n">
        <x:v>2021</x:v>
      </x:c>
      <x:c r="D327" s="18"/>
      <x:c r="E327" s="18"/>
      <x:c r="F327" s="17"/>
      <x:c r="G327" s="18"/>
      <x:c r="H327" s="18"/>
      <x:c r="I327" s="18"/>
      <x:c r="J327" s="18"/>
      <x:c r="K327" s="18"/>
      <x:c r="L327" s="18"/>
      <x:c r="M327" s="18"/>
      <x:c r="N327" s="17"/>
      <x:c r="O327" s="18"/>
      <x:c r="P327" s="18"/>
      <x:c r="Q327" s="18"/>
      <x:c r="R327" s="16"/>
      <x:c r="S327" s="16"/>
      <x:c r="T327" s="16"/>
    </x:row>
    <x:row r="328">
      <x:c r="A328" s="16" t="str">
        <x:v>宜春市</x:v>
      </x:c>
      <x:c r="B328" s="16" t="str">
        <x:v>铜鼓县</x:v>
      </x:c>
      <x:c r="C328" s="17" t="n">
        <x:v>2022</x:v>
      </x:c>
      <x:c r="D328" s="18"/>
      <x:c r="E328" s="18"/>
      <x:c r="F328" s="17"/>
      <x:c r="G328" s="18"/>
      <x:c r="H328" s="18"/>
      <x:c r="I328" s="18"/>
      <x:c r="J328" s="18"/>
      <x:c r="K328" s="18"/>
      <x:c r="L328" s="18"/>
      <x:c r="M328" s="18"/>
      <x:c r="N328" s="17"/>
      <x:c r="O328" s="18"/>
      <x:c r="P328" s="18"/>
      <x:c r="Q328" s="18"/>
      <x:c r="R328" s="16"/>
      <x:c r="S328" s="16"/>
      <x:c r="T328" s="16"/>
    </x:row>
    <x:row r="329">
      <x:c r="A329" s="16" t="str">
        <x:v>宜春市</x:v>
      </x:c>
      <x:c r="B329" s="16" t="str">
        <x:v>铜鼓县</x:v>
      </x:c>
      <x:c r="C329" s="17" t="n">
        <x:v>2023</x:v>
      </x:c>
      <x:c r="D329" s="18" t="n">
        <x:v>75.82</x:v>
      </x:c>
      <x:c r="E329" s="18"/>
      <x:c r="F329" s="17"/>
      <x:c r="G329" s="18"/>
      <x:c r="H329" s="18"/>
      <x:c r="I329" s="18"/>
      <x:c r="J329" s="18"/>
      <x:c r="K329" s="18"/>
      <x:c r="L329" s="18"/>
      <x:c r="M329" s="18"/>
      <x:c r="N329" s="17"/>
      <x:c r="O329" s="18"/>
      <x:c r="P329" s="18"/>
      <x:c r="Q329" s="18"/>
      <x:c r="R329" s="16" t="str">
        <x:v>B</x:v>
      </x:c>
      <x:c r="S329" s="16" t="str">
        <x:v>https://www.maigoo.com/news/702753.html</x:v>
      </x:c>
      <x:c r="T329" s="16" t="str">
        <x:v>宜春县域GDP聚合</x:v>
      </x:c>
    </x:row>
    <x:row r="330">
      <x:c r="A330" s="16" t="str">
        <x:v>宜春市</x:v>
      </x:c>
      <x:c r="B330" s="16" t="str">
        <x:v>铜鼓县</x:v>
      </x:c>
      <x:c r="C330" s="17" t="n">
        <x:v>2024</x:v>
      </x:c>
      <x:c r="D330" s="18"/>
      <x:c r="E330" s="18"/>
      <x:c r="F330" s="17"/>
      <x:c r="G330" s="18"/>
      <x:c r="H330" s="18"/>
      <x:c r="I330" s="18"/>
      <x:c r="J330" s="18"/>
      <x:c r="K330" s="18"/>
      <x:c r="L330" s="18"/>
      <x:c r="M330" s="18"/>
      <x:c r="N330" s="17"/>
      <x:c r="O330" s="18"/>
      <x:c r="P330" s="18"/>
      <x:c r="Q330" s="18"/>
      <x:c r="R330" s="16"/>
      <x:c r="S330" s="16"/>
      <x:c r="T330" s="16"/>
    </x:row>
    <x:row r="331">
      <x:c r="A331" s="16" t="str">
        <x:v>宜春市</x:v>
      </x:c>
      <x:c r="B331" s="16" t="str">
        <x:v>铜鼓县</x:v>
      </x:c>
      <x:c r="C331" s="17" t="n">
        <x:v>2025</x:v>
      </x:c>
      <x:c r="D331" s="18"/>
      <x:c r="E331" s="18"/>
      <x:c r="F331" s="17"/>
      <x:c r="G331" s="18"/>
      <x:c r="H331" s="18"/>
      <x:c r="I331" s="18"/>
      <x:c r="J331" s="18"/>
      <x:c r="K331" s="18"/>
      <x:c r="L331" s="18"/>
      <x:c r="M331" s="18"/>
      <x:c r="N331" s="17"/>
      <x:c r="O331" s="18"/>
      <x:c r="P331" s="18"/>
      <x:c r="Q331" s="18"/>
      <x:c r="R331" s="16"/>
      <x:c r="S331" s="16"/>
      <x:c r="T331" s="16"/>
    </x:row>
    <x:row r="332">
      <x:c r="A332" s="16" t="str">
        <x:v>抚州市</x:v>
      </x:c>
      <x:c r="B332" s="16" t="str">
        <x:v>南城县</x:v>
      </x:c>
      <x:c r="C332" s="17" t="n">
        <x:v>2020</x:v>
      </x:c>
      <x:c r="D332" s="18"/>
      <x:c r="E332" s="18"/>
      <x:c r="F332" s="17"/>
      <x:c r="G332" s="18"/>
      <x:c r="H332" s="18"/>
      <x:c r="I332" s="18"/>
      <x:c r="J332" s="18"/>
      <x:c r="K332" s="18"/>
      <x:c r="L332" s="18"/>
      <x:c r="M332" s="18"/>
      <x:c r="N332" s="17"/>
      <x:c r="O332" s="18"/>
      <x:c r="P332" s="18"/>
      <x:c r="Q332" s="18"/>
      <x:c r="R332" s="16"/>
      <x:c r="S332" s="16"/>
      <x:c r="T332" s="16"/>
    </x:row>
    <x:row r="333">
      <x:c r="A333" s="16" t="str">
        <x:v>抚州市</x:v>
      </x:c>
      <x:c r="B333" s="16" t="str">
        <x:v>南城县</x:v>
      </x:c>
      <x:c r="C333" s="17" t="n">
        <x:v>2021</x:v>
      </x:c>
      <x:c r="D333" s="18"/>
      <x:c r="E333" s="18"/>
      <x:c r="F333" s="17"/>
      <x:c r="G333" s="18"/>
      <x:c r="H333" s="18"/>
      <x:c r="I333" s="18"/>
      <x:c r="J333" s="18"/>
      <x:c r="K333" s="18"/>
      <x:c r="L333" s="18"/>
      <x:c r="M333" s="18"/>
      <x:c r="N333" s="17"/>
      <x:c r="O333" s="18"/>
      <x:c r="P333" s="18"/>
      <x:c r="Q333" s="18"/>
      <x:c r="R333" s="16"/>
      <x:c r="S333" s="16"/>
      <x:c r="T333" s="16"/>
    </x:row>
    <x:row r="334">
      <x:c r="A334" s="16" t="str">
        <x:v>抚州市</x:v>
      </x:c>
      <x:c r="B334" s="16" t="str">
        <x:v>南城县</x:v>
      </x:c>
      <x:c r="C334" s="17" t="n">
        <x:v>2022</x:v>
      </x:c>
      <x:c r="D334" s="18"/>
      <x:c r="E334" s="18"/>
      <x:c r="F334" s="17"/>
      <x:c r="G334" s="18"/>
      <x:c r="H334" s="18"/>
      <x:c r="I334" s="18"/>
      <x:c r="J334" s="18"/>
      <x:c r="K334" s="18"/>
      <x:c r="L334" s="18"/>
      <x:c r="M334" s="18"/>
      <x:c r="N334" s="17"/>
      <x:c r="O334" s="18"/>
      <x:c r="P334" s="18"/>
      <x:c r="Q334" s="18"/>
      <x:c r="R334" s="16"/>
      <x:c r="S334" s="16"/>
      <x:c r="T334" s="16"/>
    </x:row>
    <x:row r="335">
      <x:c r="A335" s="16" t="str">
        <x:v>抚州市</x:v>
      </x:c>
      <x:c r="B335" s="16" t="str">
        <x:v>南城县</x:v>
      </x:c>
      <x:c r="C335" s="17" t="n">
        <x:v>2023</x:v>
      </x:c>
      <x:c r="D335" s="18"/>
      <x:c r="E335" s="18"/>
      <x:c r="F335" s="17"/>
      <x:c r="G335" s="18"/>
      <x:c r="H335" s="18"/>
      <x:c r="I335" s="18"/>
      <x:c r="J335" s="18"/>
      <x:c r="K335" s="18"/>
      <x:c r="L335" s="18"/>
      <x:c r="M335" s="18"/>
      <x:c r="N335" s="17"/>
      <x:c r="O335" s="18"/>
      <x:c r="P335" s="18"/>
      <x:c r="Q335" s="18"/>
      <x:c r="R335" s="16"/>
      <x:c r="S335" s="16"/>
      <x:c r="T335" s="16"/>
    </x:row>
    <x:row r="336">
      <x:c r="A336" s="16" t="str">
        <x:v>抚州市</x:v>
      </x:c>
      <x:c r="B336" s="16" t="str">
        <x:v>南城县</x:v>
      </x:c>
      <x:c r="C336" s="17" t="n">
        <x:v>2024</x:v>
      </x:c>
      <x:c r="D336" s="18"/>
      <x:c r="E336" s="18"/>
      <x:c r="F336" s="17"/>
      <x:c r="G336" s="18"/>
      <x:c r="H336" s="18"/>
      <x:c r="I336" s="18"/>
      <x:c r="J336" s="18"/>
      <x:c r="K336" s="18"/>
      <x:c r="L336" s="18"/>
      <x:c r="M336" s="18"/>
      <x:c r="N336" s="17"/>
      <x:c r="O336" s="18"/>
      <x:c r="P336" s="18"/>
      <x:c r="Q336" s="18"/>
      <x:c r="R336" s="16"/>
      <x:c r="S336" s="16"/>
      <x:c r="T336" s="16"/>
    </x:row>
    <x:row r="337">
      <x:c r="A337" s="16" t="str">
        <x:v>抚州市</x:v>
      </x:c>
      <x:c r="B337" s="16" t="str">
        <x:v>南城县</x:v>
      </x:c>
      <x:c r="C337" s="17" t="n">
        <x:v>2025</x:v>
      </x:c>
      <x:c r="D337" s="18"/>
      <x:c r="E337" s="18"/>
      <x:c r="F337" s="17"/>
      <x:c r="G337" s="18"/>
      <x:c r="H337" s="18"/>
      <x:c r="I337" s="18"/>
      <x:c r="J337" s="18"/>
      <x:c r="K337" s="18"/>
      <x:c r="L337" s="18"/>
      <x:c r="M337" s="18"/>
      <x:c r="N337" s="17"/>
      <x:c r="O337" s="18"/>
      <x:c r="P337" s="18"/>
      <x:c r="Q337" s="18"/>
      <x:c r="R337" s="16"/>
      <x:c r="S337" s="16"/>
      <x:c r="T337" s="16"/>
    </x:row>
    <x:row r="338">
      <x:c r="A338" s="16" t="str">
        <x:v>抚州市</x:v>
      </x:c>
      <x:c r="B338" s="16" t="str">
        <x:v>黎川县</x:v>
      </x:c>
      <x:c r="C338" s="17" t="n">
        <x:v>2020</x:v>
      </x:c>
      <x:c r="D338" s="18"/>
      <x:c r="E338" s="18"/>
      <x:c r="F338" s="17"/>
      <x:c r="G338" s="18"/>
      <x:c r="H338" s="18"/>
      <x:c r="I338" s="18"/>
      <x:c r="J338" s="18"/>
      <x:c r="K338" s="18"/>
      <x:c r="L338" s="18"/>
      <x:c r="M338" s="18"/>
      <x:c r="N338" s="17"/>
      <x:c r="O338" s="18"/>
      <x:c r="P338" s="18"/>
      <x:c r="Q338" s="18"/>
      <x:c r="R338" s="16"/>
      <x:c r="S338" s="16"/>
      <x:c r="T338" s="16"/>
    </x:row>
    <x:row r="339">
      <x:c r="A339" s="16" t="str">
        <x:v>抚州市</x:v>
      </x:c>
      <x:c r="B339" s="16" t="str">
        <x:v>黎川县</x:v>
      </x:c>
      <x:c r="C339" s="17" t="n">
        <x:v>2021</x:v>
      </x:c>
      <x:c r="D339" s="18"/>
      <x:c r="E339" s="18"/>
      <x:c r="F339" s="17"/>
      <x:c r="G339" s="18"/>
      <x:c r="H339" s="18"/>
      <x:c r="I339" s="18"/>
      <x:c r="J339" s="18"/>
      <x:c r="K339" s="18"/>
      <x:c r="L339" s="18"/>
      <x:c r="M339" s="18"/>
      <x:c r="N339" s="17"/>
      <x:c r="O339" s="18"/>
      <x:c r="P339" s="18"/>
      <x:c r="Q339" s="18"/>
      <x:c r="R339" s="16"/>
      <x:c r="S339" s="16"/>
      <x:c r="T339" s="16"/>
    </x:row>
    <x:row r="340">
      <x:c r="A340" s="16" t="str">
        <x:v>抚州市</x:v>
      </x:c>
      <x:c r="B340" s="16" t="str">
        <x:v>黎川县</x:v>
      </x:c>
      <x:c r="C340" s="17" t="n">
        <x:v>2022</x:v>
      </x:c>
      <x:c r="D340" s="18"/>
      <x:c r="E340" s="18"/>
      <x:c r="F340" s="17"/>
      <x:c r="G340" s="18"/>
      <x:c r="H340" s="18"/>
      <x:c r="I340" s="18"/>
      <x:c r="J340" s="18"/>
      <x:c r="K340" s="18"/>
      <x:c r="L340" s="18"/>
      <x:c r="M340" s="18"/>
      <x:c r="N340" s="17"/>
      <x:c r="O340" s="18"/>
      <x:c r="P340" s="18"/>
      <x:c r="Q340" s="18"/>
      <x:c r="R340" s="16"/>
      <x:c r="S340" s="16"/>
      <x:c r="T340" s="16"/>
    </x:row>
    <x:row r="341">
      <x:c r="A341" s="16" t="str">
        <x:v>抚州市</x:v>
      </x:c>
      <x:c r="B341" s="16" t="str">
        <x:v>黎川县</x:v>
      </x:c>
      <x:c r="C341" s="17" t="n">
        <x:v>2023</x:v>
      </x:c>
      <x:c r="D341" s="18"/>
      <x:c r="E341" s="18"/>
      <x:c r="F341" s="17"/>
      <x:c r="G341" s="18"/>
      <x:c r="H341" s="18"/>
      <x:c r="I341" s="18"/>
      <x:c r="J341" s="18"/>
      <x:c r="K341" s="18"/>
      <x:c r="L341" s="18"/>
      <x:c r="M341" s="18"/>
      <x:c r="N341" s="17"/>
      <x:c r="O341" s="18"/>
      <x:c r="P341" s="18"/>
      <x:c r="Q341" s="18"/>
      <x:c r="R341" s="16"/>
      <x:c r="S341" s="16"/>
      <x:c r="T341" s="16"/>
    </x:row>
    <x:row r="342">
      <x:c r="A342" s="16" t="str">
        <x:v>抚州市</x:v>
      </x:c>
      <x:c r="B342" s="16" t="str">
        <x:v>黎川县</x:v>
      </x:c>
      <x:c r="C342" s="17" t="n">
        <x:v>2024</x:v>
      </x:c>
      <x:c r="D342" s="18"/>
      <x:c r="E342" s="18"/>
      <x:c r="F342" s="17"/>
      <x:c r="G342" s="18"/>
      <x:c r="H342" s="18"/>
      <x:c r="I342" s="18"/>
      <x:c r="J342" s="18"/>
      <x:c r="K342" s="18"/>
      <x:c r="L342" s="18"/>
      <x:c r="M342" s="18"/>
      <x:c r="N342" s="17"/>
      <x:c r="O342" s="18"/>
      <x:c r="P342" s="18"/>
      <x:c r="Q342" s="18"/>
      <x:c r="R342" s="16"/>
      <x:c r="S342" s="16"/>
      <x:c r="T342" s="16"/>
    </x:row>
    <x:row r="343">
      <x:c r="A343" s="16" t="str">
        <x:v>抚州市</x:v>
      </x:c>
      <x:c r="B343" s="16" t="str">
        <x:v>黎川县</x:v>
      </x:c>
      <x:c r="C343" s="17" t="n">
        <x:v>2025</x:v>
      </x:c>
      <x:c r="D343" s="18"/>
      <x:c r="E343" s="18"/>
      <x:c r="F343" s="17"/>
      <x:c r="G343" s="18"/>
      <x:c r="H343" s="18"/>
      <x:c r="I343" s="18"/>
      <x:c r="J343" s="18"/>
      <x:c r="K343" s="18"/>
      <x:c r="L343" s="18"/>
      <x:c r="M343" s="18"/>
      <x:c r="N343" s="17"/>
      <x:c r="O343" s="18"/>
      <x:c r="P343" s="18"/>
      <x:c r="Q343" s="18"/>
      <x:c r="R343" s="16"/>
      <x:c r="S343" s="16"/>
      <x:c r="T343" s="16"/>
    </x:row>
    <x:row r="344">
      <x:c r="A344" s="16" t="str">
        <x:v>抚州市</x:v>
      </x:c>
      <x:c r="B344" s="16" t="str">
        <x:v>南丰县</x:v>
      </x:c>
      <x:c r="C344" s="17" t="n">
        <x:v>2020</x:v>
      </x:c>
      <x:c r="D344" s="18" t="n">
        <x:v>142.3884</x:v>
      </x:c>
      <x:c r="E344" s="18"/>
      <x:c r="F344" s="17"/>
      <x:c r="G344" s="18"/>
      <x:c r="H344" s="18"/>
      <x:c r="I344" s="18"/>
      <x:c r="J344" s="18"/>
      <x:c r="K344" s="18"/>
      <x:c r="L344" s="18"/>
      <x:c r="M344" s="18"/>
      <x:c r="N344" s="17"/>
      <x:c r="O344" s="18"/>
      <x:c r="P344" s="18"/>
      <x:c r="Q344" s="18"/>
      <x:c r="R344" s="16" t="str">
        <x:v>C</x:v>
      </x:c>
      <x:c r="S344" s="16" t="str">
        <x:v>https://www.hongheiku.com/xianjirank/jxsgdp.html</x:v>
      </x:c>
      <x:c r="T344" s="16" t="str">
        <x:v>历史排行页；待官方年鉴替换</x:v>
      </x:c>
    </x:row>
    <x:row r="345">
      <x:c r="A345" s="16" t="str">
        <x:v>抚州市</x:v>
      </x:c>
      <x:c r="B345" s="16" t="str">
        <x:v>南丰县</x:v>
      </x:c>
      <x:c r="C345" s="17" t="n">
        <x:v>2021</x:v>
      </x:c>
      <x:c r="D345" s="18"/>
      <x:c r="E345" s="18"/>
      <x:c r="F345" s="17"/>
      <x:c r="G345" s="18"/>
      <x:c r="H345" s="18"/>
      <x:c r="I345" s="18"/>
      <x:c r="J345" s="18"/>
      <x:c r="K345" s="18"/>
      <x:c r="L345" s="18"/>
      <x:c r="M345" s="18"/>
      <x:c r="N345" s="17"/>
      <x:c r="O345" s="18"/>
      <x:c r="P345" s="18"/>
      <x:c r="Q345" s="18"/>
      <x:c r="R345" s="16"/>
      <x:c r="S345" s="16"/>
      <x:c r="T345" s="16"/>
    </x:row>
    <x:row r="346">
      <x:c r="A346" s="16" t="str">
        <x:v>抚州市</x:v>
      </x:c>
      <x:c r="B346" s="16" t="str">
        <x:v>南丰县</x:v>
      </x:c>
      <x:c r="C346" s="17" t="n">
        <x:v>2022</x:v>
      </x:c>
      <x:c r="D346" s="18"/>
      <x:c r="E346" s="18"/>
      <x:c r="F346" s="17"/>
      <x:c r="G346" s="18"/>
      <x:c r="H346" s="18"/>
      <x:c r="I346" s="18"/>
      <x:c r="J346" s="18"/>
      <x:c r="K346" s="18"/>
      <x:c r="L346" s="18"/>
      <x:c r="M346" s="18"/>
      <x:c r="N346" s="17"/>
      <x:c r="O346" s="18"/>
      <x:c r="P346" s="18"/>
      <x:c r="Q346" s="18"/>
      <x:c r="R346" s="16"/>
      <x:c r="S346" s="16"/>
      <x:c r="T346" s="16"/>
    </x:row>
    <x:row r="347">
      <x:c r="A347" s="16" t="str">
        <x:v>抚州市</x:v>
      </x:c>
      <x:c r="B347" s="16" t="str">
        <x:v>南丰县</x:v>
      </x:c>
      <x:c r="C347" s="17" t="n">
        <x:v>2023</x:v>
      </x:c>
      <x:c r="D347" s="18"/>
      <x:c r="E347" s="18"/>
      <x:c r="F347" s="17"/>
      <x:c r="G347" s="18"/>
      <x:c r="H347" s="18"/>
      <x:c r="I347" s="18"/>
      <x:c r="J347" s="18"/>
      <x:c r="K347" s="18"/>
      <x:c r="L347" s="18"/>
      <x:c r="M347" s="18"/>
      <x:c r="N347" s="17"/>
      <x:c r="O347" s="18"/>
      <x:c r="P347" s="18"/>
      <x:c r="Q347" s="18"/>
      <x:c r="R347" s="16"/>
      <x:c r="S347" s="16"/>
      <x:c r="T347" s="16"/>
    </x:row>
    <x:row r="348">
      <x:c r="A348" s="16" t="str">
        <x:v>抚州市</x:v>
      </x:c>
      <x:c r="B348" s="16" t="str">
        <x:v>南丰县</x:v>
      </x:c>
      <x:c r="C348" s="17" t="n">
        <x:v>2024</x:v>
      </x:c>
      <x:c r="D348" s="18"/>
      <x:c r="E348" s="18"/>
      <x:c r="F348" s="17"/>
      <x:c r="G348" s="18"/>
      <x:c r="H348" s="18"/>
      <x:c r="I348" s="18"/>
      <x:c r="J348" s="18"/>
      <x:c r="K348" s="18"/>
      <x:c r="L348" s="18"/>
      <x:c r="M348" s="18"/>
      <x:c r="N348" s="17"/>
      <x:c r="O348" s="18"/>
      <x:c r="P348" s="18"/>
      <x:c r="Q348" s="18"/>
      <x:c r="R348" s="16"/>
      <x:c r="S348" s="16"/>
      <x:c r="T348" s="16"/>
    </x:row>
    <x:row r="349">
      <x:c r="A349" s="16" t="str">
        <x:v>抚州市</x:v>
      </x:c>
      <x:c r="B349" s="16" t="str">
        <x:v>南丰县</x:v>
      </x:c>
      <x:c r="C349" s="17" t="n">
        <x:v>2025</x:v>
      </x:c>
      <x:c r="D349" s="18"/>
      <x:c r="E349" s="18"/>
      <x:c r="F349" s="17"/>
      <x:c r="G349" s="18"/>
      <x:c r="H349" s="18"/>
      <x:c r="I349" s="18"/>
      <x:c r="J349" s="18"/>
      <x:c r="K349" s="18"/>
      <x:c r="L349" s="18"/>
      <x:c r="M349" s="18"/>
      <x:c r="N349" s="17"/>
      <x:c r="O349" s="18"/>
      <x:c r="P349" s="18"/>
      <x:c r="Q349" s="18"/>
      <x:c r="R349" s="16"/>
      <x:c r="S349" s="16"/>
      <x:c r="T349" s="16"/>
    </x:row>
    <x:row r="350">
      <x:c r="A350" s="16" t="str">
        <x:v>抚州市</x:v>
      </x:c>
      <x:c r="B350" s="16" t="str">
        <x:v>崇仁县</x:v>
      </x:c>
      <x:c r="C350" s="17" t="n">
        <x:v>2020</x:v>
      </x:c>
      <x:c r="D350" s="18" t="n">
        <x:v>134.5334</x:v>
      </x:c>
      <x:c r="E350" s="18"/>
      <x:c r="F350" s="17"/>
      <x:c r="G350" s="18"/>
      <x:c r="H350" s="18"/>
      <x:c r="I350" s="18"/>
      <x:c r="J350" s="18"/>
      <x:c r="K350" s="18"/>
      <x:c r="L350" s="18"/>
      <x:c r="M350" s="18"/>
      <x:c r="N350" s="17"/>
      <x:c r="O350" s="18"/>
      <x:c r="P350" s="18"/>
      <x:c r="Q350" s="18"/>
      <x:c r="R350" s="16" t="str">
        <x:v>C</x:v>
      </x:c>
      <x:c r="S350" s="16" t="str">
        <x:v>https://www.hongheiku.com/xianjirank/jxsgdp.html</x:v>
      </x:c>
      <x:c r="T350" s="16" t="str">
        <x:v>历史排行页；待官方年鉴替换</x:v>
      </x:c>
    </x:row>
    <x:row r="351">
      <x:c r="A351" s="16" t="str">
        <x:v>抚州市</x:v>
      </x:c>
      <x:c r="B351" s="16" t="str">
        <x:v>崇仁县</x:v>
      </x:c>
      <x:c r="C351" s="17" t="n">
        <x:v>2021</x:v>
      </x:c>
      <x:c r="D351" s="18"/>
      <x:c r="E351" s="18"/>
      <x:c r="F351" s="17"/>
      <x:c r="G351" s="18"/>
      <x:c r="H351" s="18"/>
      <x:c r="I351" s="18"/>
      <x:c r="J351" s="18"/>
      <x:c r="K351" s="18"/>
      <x:c r="L351" s="18"/>
      <x:c r="M351" s="18"/>
      <x:c r="N351" s="17"/>
      <x:c r="O351" s="18"/>
      <x:c r="P351" s="18"/>
      <x:c r="Q351" s="18"/>
      <x:c r="R351" s="16"/>
      <x:c r="S351" s="16"/>
      <x:c r="T351" s="16"/>
    </x:row>
    <x:row r="352">
      <x:c r="A352" s="16" t="str">
        <x:v>抚州市</x:v>
      </x:c>
      <x:c r="B352" s="16" t="str">
        <x:v>崇仁县</x:v>
      </x:c>
      <x:c r="C352" s="17" t="n">
        <x:v>2022</x:v>
      </x:c>
      <x:c r="D352" s="18"/>
      <x:c r="E352" s="18"/>
      <x:c r="F352" s="17"/>
      <x:c r="G352" s="18"/>
      <x:c r="H352" s="18"/>
      <x:c r="I352" s="18"/>
      <x:c r="J352" s="18"/>
      <x:c r="K352" s="18"/>
      <x:c r="L352" s="18"/>
      <x:c r="M352" s="18"/>
      <x:c r="N352" s="17"/>
      <x:c r="O352" s="18"/>
      <x:c r="P352" s="18"/>
      <x:c r="Q352" s="18"/>
      <x:c r="R352" s="16"/>
      <x:c r="S352" s="16"/>
      <x:c r="T352" s="16"/>
    </x:row>
    <x:row r="353">
      <x:c r="A353" s="16" t="str">
        <x:v>抚州市</x:v>
      </x:c>
      <x:c r="B353" s="16" t="str">
        <x:v>崇仁县</x:v>
      </x:c>
      <x:c r="C353" s="17" t="n">
        <x:v>2023</x:v>
      </x:c>
      <x:c r="D353" s="18"/>
      <x:c r="E353" s="18"/>
      <x:c r="F353" s="17"/>
      <x:c r="G353" s="18"/>
      <x:c r="H353" s="18"/>
      <x:c r="I353" s="18"/>
      <x:c r="J353" s="18"/>
      <x:c r="K353" s="18"/>
      <x:c r="L353" s="18"/>
      <x:c r="M353" s="18"/>
      <x:c r="N353" s="17"/>
      <x:c r="O353" s="18"/>
      <x:c r="P353" s="18"/>
      <x:c r="Q353" s="18"/>
      <x:c r="R353" s="16"/>
      <x:c r="S353" s="16"/>
      <x:c r="T353" s="16"/>
    </x:row>
    <x:row r="354">
      <x:c r="A354" s="16" t="str">
        <x:v>抚州市</x:v>
      </x:c>
      <x:c r="B354" s="16" t="str">
        <x:v>崇仁县</x:v>
      </x:c>
      <x:c r="C354" s="17" t="n">
        <x:v>2024</x:v>
      </x:c>
      <x:c r="D354" s="18"/>
      <x:c r="E354" s="18"/>
      <x:c r="F354" s="17"/>
      <x:c r="G354" s="18"/>
      <x:c r="H354" s="18"/>
      <x:c r="I354" s="18"/>
      <x:c r="J354" s="18"/>
      <x:c r="K354" s="18"/>
      <x:c r="L354" s="18"/>
      <x:c r="M354" s="18"/>
      <x:c r="N354" s="17"/>
      <x:c r="O354" s="18"/>
      <x:c r="P354" s="18"/>
      <x:c r="Q354" s="18"/>
      <x:c r="R354" s="16"/>
      <x:c r="S354" s="16"/>
      <x:c r="T354" s="16"/>
    </x:row>
    <x:row r="355">
      <x:c r="A355" s="16" t="str">
        <x:v>抚州市</x:v>
      </x:c>
      <x:c r="B355" s="16" t="str">
        <x:v>崇仁县</x:v>
      </x:c>
      <x:c r="C355" s="17" t="n">
        <x:v>2025</x:v>
      </x:c>
      <x:c r="D355" s="18"/>
      <x:c r="E355" s="18"/>
      <x:c r="F355" s="17"/>
      <x:c r="G355" s="18"/>
      <x:c r="H355" s="18"/>
      <x:c r="I355" s="18"/>
      <x:c r="J355" s="18"/>
      <x:c r="K355" s="18"/>
      <x:c r="L355" s="18"/>
      <x:c r="M355" s="18"/>
      <x:c r="N355" s="17"/>
      <x:c r="O355" s="18"/>
      <x:c r="P355" s="18"/>
      <x:c r="Q355" s="18"/>
      <x:c r="R355" s="16"/>
      <x:c r="S355" s="16"/>
      <x:c r="T355" s="16"/>
    </x:row>
    <x:row r="356">
      <x:c r="A356" s="16" t="str">
        <x:v>抚州市</x:v>
      </x:c>
      <x:c r="B356" s="16" t="str">
        <x:v>乐安县</x:v>
      </x:c>
      <x:c r="C356" s="17" t="n">
        <x:v>2020</x:v>
      </x:c>
      <x:c r="D356" s="18"/>
      <x:c r="E356" s="18"/>
      <x:c r="F356" s="17"/>
      <x:c r="G356" s="18"/>
      <x:c r="H356" s="18"/>
      <x:c r="I356" s="18"/>
      <x:c r="J356" s="18"/>
      <x:c r="K356" s="18"/>
      <x:c r="L356" s="18"/>
      <x:c r="M356" s="18"/>
      <x:c r="N356" s="17"/>
      <x:c r="O356" s="18"/>
      <x:c r="P356" s="18"/>
      <x:c r="Q356" s="18"/>
      <x:c r="R356" s="16"/>
      <x:c r="S356" s="16"/>
      <x:c r="T356" s="16"/>
    </x:row>
    <x:row r="357">
      <x:c r="A357" s="16" t="str">
        <x:v>抚州市</x:v>
      </x:c>
      <x:c r="B357" s="16" t="str">
        <x:v>乐安县</x:v>
      </x:c>
      <x:c r="C357" s="17" t="n">
        <x:v>2021</x:v>
      </x:c>
      <x:c r="D357" s="18"/>
      <x:c r="E357" s="18"/>
      <x:c r="F357" s="17"/>
      <x:c r="G357" s="18"/>
      <x:c r="H357" s="18"/>
      <x:c r="I357" s="18"/>
      <x:c r="J357" s="18"/>
      <x:c r="K357" s="18"/>
      <x:c r="L357" s="18"/>
      <x:c r="M357" s="18"/>
      <x:c r="N357" s="17"/>
      <x:c r="O357" s="18"/>
      <x:c r="P357" s="18"/>
      <x:c r="Q357" s="18"/>
      <x:c r="R357" s="16"/>
      <x:c r="S357" s="16"/>
      <x:c r="T357" s="16"/>
    </x:row>
    <x:row r="358">
      <x:c r="A358" s="16" t="str">
        <x:v>抚州市</x:v>
      </x:c>
      <x:c r="B358" s="16" t="str">
        <x:v>乐安县</x:v>
      </x:c>
      <x:c r="C358" s="17" t="n">
        <x:v>2022</x:v>
      </x:c>
      <x:c r="D358" s="18"/>
      <x:c r="E358" s="18"/>
      <x:c r="F358" s="17"/>
      <x:c r="G358" s="18"/>
      <x:c r="H358" s="18"/>
      <x:c r="I358" s="18"/>
      <x:c r="J358" s="18"/>
      <x:c r="K358" s="18"/>
      <x:c r="L358" s="18"/>
      <x:c r="M358" s="18"/>
      <x:c r="N358" s="17"/>
      <x:c r="O358" s="18"/>
      <x:c r="P358" s="18"/>
      <x:c r="Q358" s="18"/>
      <x:c r="R358" s="16"/>
      <x:c r="S358" s="16"/>
      <x:c r="T358" s="16"/>
    </x:row>
    <x:row r="359">
      <x:c r="A359" s="16" t="str">
        <x:v>抚州市</x:v>
      </x:c>
      <x:c r="B359" s="16" t="str">
        <x:v>乐安县</x:v>
      </x:c>
      <x:c r="C359" s="17" t="n">
        <x:v>2023</x:v>
      </x:c>
      <x:c r="D359" s="18"/>
      <x:c r="E359" s="18"/>
      <x:c r="F359" s="17"/>
      <x:c r="G359" s="18"/>
      <x:c r="H359" s="18"/>
      <x:c r="I359" s="18"/>
      <x:c r="J359" s="18"/>
      <x:c r="K359" s="18"/>
      <x:c r="L359" s="18"/>
      <x:c r="M359" s="18"/>
      <x:c r="N359" s="17"/>
      <x:c r="O359" s="18"/>
      <x:c r="P359" s="18"/>
      <x:c r="Q359" s="18"/>
      <x:c r="R359" s="16"/>
      <x:c r="S359" s="16"/>
      <x:c r="T359" s="16"/>
    </x:row>
    <x:row r="360">
      <x:c r="A360" s="16" t="str">
        <x:v>抚州市</x:v>
      </x:c>
      <x:c r="B360" s="16" t="str">
        <x:v>乐安县</x:v>
      </x:c>
      <x:c r="C360" s="17" t="n">
        <x:v>2024</x:v>
      </x:c>
      <x:c r="D360" s="18"/>
      <x:c r="E360" s="18"/>
      <x:c r="F360" s="17"/>
      <x:c r="G360" s="18"/>
      <x:c r="H360" s="18"/>
      <x:c r="I360" s="18"/>
      <x:c r="J360" s="18"/>
      <x:c r="K360" s="18"/>
      <x:c r="L360" s="18"/>
      <x:c r="M360" s="18"/>
      <x:c r="N360" s="17"/>
      <x:c r="O360" s="18"/>
      <x:c r="P360" s="18"/>
      <x:c r="Q360" s="18"/>
      <x:c r="R360" s="16"/>
      <x:c r="S360" s="16"/>
      <x:c r="T360" s="16"/>
    </x:row>
    <x:row r="361">
      <x:c r="A361" s="16" t="str">
        <x:v>抚州市</x:v>
      </x:c>
      <x:c r="B361" s="16" t="str">
        <x:v>乐安县</x:v>
      </x:c>
      <x:c r="C361" s="17" t="n">
        <x:v>2025</x:v>
      </x:c>
      <x:c r="D361" s="18"/>
      <x:c r="E361" s="18"/>
      <x:c r="F361" s="17"/>
      <x:c r="G361" s="18"/>
      <x:c r="H361" s="18"/>
      <x:c r="I361" s="18"/>
      <x:c r="J361" s="18"/>
      <x:c r="K361" s="18"/>
      <x:c r="L361" s="18"/>
      <x:c r="M361" s="18"/>
      <x:c r="N361" s="17"/>
      <x:c r="O361" s="18"/>
      <x:c r="P361" s="18"/>
      <x:c r="Q361" s="18"/>
      <x:c r="R361" s="16"/>
      <x:c r="S361" s="16"/>
      <x:c r="T361" s="16"/>
    </x:row>
    <x:row r="362">
      <x:c r="A362" s="16" t="str">
        <x:v>抚州市</x:v>
      </x:c>
      <x:c r="B362" s="16" t="str">
        <x:v>宜黄县</x:v>
      </x:c>
      <x:c r="C362" s="17" t="n">
        <x:v>2020</x:v>
      </x:c>
      <x:c r="D362" s="18"/>
      <x:c r="E362" s="18"/>
      <x:c r="F362" s="17"/>
      <x:c r="G362" s="18"/>
      <x:c r="H362" s="18"/>
      <x:c r="I362" s="18"/>
      <x:c r="J362" s="18"/>
      <x:c r="K362" s="18"/>
      <x:c r="L362" s="18"/>
      <x:c r="M362" s="18"/>
      <x:c r="N362" s="17"/>
      <x:c r="O362" s="18"/>
      <x:c r="P362" s="18"/>
      <x:c r="Q362" s="18"/>
      <x:c r="R362" s="16"/>
      <x:c r="S362" s="16"/>
      <x:c r="T362" s="16"/>
    </x:row>
    <x:row r="363">
      <x:c r="A363" s="16" t="str">
        <x:v>抚州市</x:v>
      </x:c>
      <x:c r="B363" s="16" t="str">
        <x:v>宜黄县</x:v>
      </x:c>
      <x:c r="C363" s="17" t="n">
        <x:v>2021</x:v>
      </x:c>
      <x:c r="D363" s="18"/>
      <x:c r="E363" s="18"/>
      <x:c r="F363" s="17"/>
      <x:c r="G363" s="18"/>
      <x:c r="H363" s="18"/>
      <x:c r="I363" s="18"/>
      <x:c r="J363" s="18"/>
      <x:c r="K363" s="18"/>
      <x:c r="L363" s="18"/>
      <x:c r="M363" s="18"/>
      <x:c r="N363" s="17"/>
      <x:c r="O363" s="18"/>
      <x:c r="P363" s="18"/>
      <x:c r="Q363" s="18"/>
      <x:c r="R363" s="16"/>
      <x:c r="S363" s="16"/>
      <x:c r="T363" s="16"/>
    </x:row>
    <x:row r="364">
      <x:c r="A364" s="16" t="str">
        <x:v>抚州市</x:v>
      </x:c>
      <x:c r="B364" s="16" t="str">
        <x:v>宜黄县</x:v>
      </x:c>
      <x:c r="C364" s="17" t="n">
        <x:v>2022</x:v>
      </x:c>
      <x:c r="D364" s="18"/>
      <x:c r="E364" s="18"/>
      <x:c r="F364" s="17"/>
      <x:c r="G364" s="18"/>
      <x:c r="H364" s="18"/>
      <x:c r="I364" s="18"/>
      <x:c r="J364" s="18"/>
      <x:c r="K364" s="18"/>
      <x:c r="L364" s="18"/>
      <x:c r="M364" s="18"/>
      <x:c r="N364" s="17"/>
      <x:c r="O364" s="18"/>
      <x:c r="P364" s="18"/>
      <x:c r="Q364" s="18"/>
      <x:c r="R364" s="16"/>
      <x:c r="S364" s="16"/>
      <x:c r="T364" s="16"/>
    </x:row>
    <x:row r="365">
      <x:c r="A365" s="16" t="str">
        <x:v>抚州市</x:v>
      </x:c>
      <x:c r="B365" s="16" t="str">
        <x:v>宜黄县</x:v>
      </x:c>
      <x:c r="C365" s="17" t="n">
        <x:v>2023</x:v>
      </x:c>
      <x:c r="D365" s="18"/>
      <x:c r="E365" s="18"/>
      <x:c r="F365" s="17"/>
      <x:c r="G365" s="18"/>
      <x:c r="H365" s="18"/>
      <x:c r="I365" s="18"/>
      <x:c r="J365" s="18"/>
      <x:c r="K365" s="18"/>
      <x:c r="L365" s="18"/>
      <x:c r="M365" s="18"/>
      <x:c r="N365" s="17"/>
      <x:c r="O365" s="18"/>
      <x:c r="P365" s="18"/>
      <x:c r="Q365" s="18"/>
      <x:c r="R365" s="16"/>
      <x:c r="S365" s="16"/>
      <x:c r="T365" s="16"/>
    </x:row>
    <x:row r="366">
      <x:c r="A366" s="16" t="str">
        <x:v>抚州市</x:v>
      </x:c>
      <x:c r="B366" s="16" t="str">
        <x:v>宜黄县</x:v>
      </x:c>
      <x:c r="C366" s="17" t="n">
        <x:v>2024</x:v>
      </x:c>
      <x:c r="D366" s="18"/>
      <x:c r="E366" s="18"/>
      <x:c r="F366" s="17"/>
      <x:c r="G366" s="18"/>
      <x:c r="H366" s="18"/>
      <x:c r="I366" s="18"/>
      <x:c r="J366" s="18"/>
      <x:c r="K366" s="18"/>
      <x:c r="L366" s="18"/>
      <x:c r="M366" s="18"/>
      <x:c r="N366" s="17"/>
      <x:c r="O366" s="18"/>
      <x:c r="P366" s="18"/>
      <x:c r="Q366" s="18"/>
      <x:c r="R366" s="16"/>
      <x:c r="S366" s="16"/>
      <x:c r="T366" s="16"/>
    </x:row>
    <x:row r="367">
      <x:c r="A367" s="16" t="str">
        <x:v>抚州市</x:v>
      </x:c>
      <x:c r="B367" s="16" t="str">
        <x:v>宜黄县</x:v>
      </x:c>
      <x:c r="C367" s="17" t="n">
        <x:v>2025</x:v>
      </x:c>
      <x:c r="D367" s="18"/>
      <x:c r="E367" s="18"/>
      <x:c r="F367" s="17"/>
      <x:c r="G367" s="18"/>
      <x:c r="H367" s="18"/>
      <x:c r="I367" s="18"/>
      <x:c r="J367" s="18"/>
      <x:c r="K367" s="18"/>
      <x:c r="L367" s="18"/>
      <x:c r="M367" s="18"/>
      <x:c r="N367" s="17"/>
      <x:c r="O367" s="18"/>
      <x:c r="P367" s="18"/>
      <x:c r="Q367" s="18"/>
      <x:c r="R367" s="16"/>
      <x:c r="S367" s="16"/>
      <x:c r="T367" s="16"/>
    </x:row>
    <x:row r="368">
      <x:c r="A368" s="16" t="str">
        <x:v>抚州市</x:v>
      </x:c>
      <x:c r="B368" s="16" t="str">
        <x:v>金溪县</x:v>
      </x:c>
      <x:c r="C368" s="17" t="n">
        <x:v>2020</x:v>
      </x:c>
      <x:c r="D368" s="18" t="n">
        <x:v>95.8877</x:v>
      </x:c>
      <x:c r="E368" s="18"/>
      <x:c r="F368" s="17"/>
      <x:c r="G368" s="18"/>
      <x:c r="H368" s="18"/>
      <x:c r="I368" s="18"/>
      <x:c r="J368" s="18"/>
      <x:c r="K368" s="18"/>
      <x:c r="L368" s="18"/>
      <x:c r="M368" s="18"/>
      <x:c r="N368" s="17"/>
      <x:c r="O368" s="18"/>
      <x:c r="P368" s="18"/>
      <x:c r="Q368" s="18"/>
      <x:c r="R368" s="16" t="str">
        <x:v>C</x:v>
      </x:c>
      <x:c r="S368" s="16" t="str">
        <x:v>https://www.hongheiku.com/xianjirank/jxsgdp.html</x:v>
      </x:c>
      <x:c r="T368" s="16" t="str">
        <x:v>历史排行页；待官方年鉴替换</x:v>
      </x:c>
    </x:row>
    <x:row r="369">
      <x:c r="A369" s="16" t="str">
        <x:v>抚州市</x:v>
      </x:c>
      <x:c r="B369" s="16" t="str">
        <x:v>金溪县</x:v>
      </x:c>
      <x:c r="C369" s="17" t="n">
        <x:v>2021</x:v>
      </x:c>
      <x:c r="D369" s="18"/>
      <x:c r="E369" s="18"/>
      <x:c r="F369" s="17"/>
      <x:c r="G369" s="18"/>
      <x:c r="H369" s="18"/>
      <x:c r="I369" s="18"/>
      <x:c r="J369" s="18"/>
      <x:c r="K369" s="18"/>
      <x:c r="L369" s="18"/>
      <x:c r="M369" s="18"/>
      <x:c r="N369" s="17"/>
      <x:c r="O369" s="18"/>
      <x:c r="P369" s="18"/>
      <x:c r="Q369" s="18"/>
      <x:c r="R369" s="16"/>
      <x:c r="S369" s="16"/>
      <x:c r="T369" s="16"/>
    </x:row>
    <x:row r="370">
      <x:c r="A370" s="16" t="str">
        <x:v>抚州市</x:v>
      </x:c>
      <x:c r="B370" s="16" t="str">
        <x:v>金溪县</x:v>
      </x:c>
      <x:c r="C370" s="17" t="n">
        <x:v>2022</x:v>
      </x:c>
      <x:c r="D370" s="18"/>
      <x:c r="E370" s="18"/>
      <x:c r="F370" s="17"/>
      <x:c r="G370" s="18"/>
      <x:c r="H370" s="18"/>
      <x:c r="I370" s="18"/>
      <x:c r="J370" s="18"/>
      <x:c r="K370" s="18"/>
      <x:c r="L370" s="18"/>
      <x:c r="M370" s="18"/>
      <x:c r="N370" s="17"/>
      <x:c r="O370" s="18"/>
      <x:c r="P370" s="18"/>
      <x:c r="Q370" s="18"/>
      <x:c r="R370" s="16"/>
      <x:c r="S370" s="16"/>
      <x:c r="T370" s="16"/>
    </x:row>
    <x:row r="371">
      <x:c r="A371" s="16" t="str">
        <x:v>抚州市</x:v>
      </x:c>
      <x:c r="B371" s="16" t="str">
        <x:v>金溪县</x:v>
      </x:c>
      <x:c r="C371" s="17" t="n">
        <x:v>2023</x:v>
      </x:c>
      <x:c r="D371" s="18"/>
      <x:c r="E371" s="18"/>
      <x:c r="F371" s="17"/>
      <x:c r="G371" s="18"/>
      <x:c r="H371" s="18"/>
      <x:c r="I371" s="18"/>
      <x:c r="J371" s="18"/>
      <x:c r="K371" s="18"/>
      <x:c r="L371" s="18"/>
      <x:c r="M371" s="18"/>
      <x:c r="N371" s="17"/>
      <x:c r="O371" s="18"/>
      <x:c r="P371" s="18"/>
      <x:c r="Q371" s="18"/>
      <x:c r="R371" s="16"/>
      <x:c r="S371" s="16"/>
      <x:c r="T371" s="16"/>
    </x:row>
    <x:row r="372">
      <x:c r="A372" s="16" t="str">
        <x:v>抚州市</x:v>
      </x:c>
      <x:c r="B372" s="16" t="str">
        <x:v>金溪县</x:v>
      </x:c>
      <x:c r="C372" s="17" t="n">
        <x:v>2024</x:v>
      </x:c>
      <x:c r="D372" s="18"/>
      <x:c r="E372" s="18"/>
      <x:c r="F372" s="17"/>
      <x:c r="G372" s="18"/>
      <x:c r="H372" s="18"/>
      <x:c r="I372" s="18"/>
      <x:c r="J372" s="18"/>
      <x:c r="K372" s="18"/>
      <x:c r="L372" s="18"/>
      <x:c r="M372" s="18"/>
      <x:c r="N372" s="17"/>
      <x:c r="O372" s="18"/>
      <x:c r="P372" s="18"/>
      <x:c r="Q372" s="18"/>
      <x:c r="R372" s="16"/>
      <x:c r="S372" s="16"/>
      <x:c r="T372" s="16"/>
    </x:row>
    <x:row r="373">
      <x:c r="A373" s="16" t="str">
        <x:v>抚州市</x:v>
      </x:c>
      <x:c r="B373" s="16" t="str">
        <x:v>金溪县</x:v>
      </x:c>
      <x:c r="C373" s="17" t="n">
        <x:v>2025</x:v>
      </x:c>
      <x:c r="D373" s="18"/>
      <x:c r="E373" s="18"/>
      <x:c r="F373" s="17"/>
      <x:c r="G373" s="18"/>
      <x:c r="H373" s="18"/>
      <x:c r="I373" s="18"/>
      <x:c r="J373" s="18"/>
      <x:c r="K373" s="18"/>
      <x:c r="L373" s="18"/>
      <x:c r="M373" s="18"/>
      <x:c r="N373" s="17"/>
      <x:c r="O373" s="18"/>
      <x:c r="P373" s="18"/>
      <x:c r="Q373" s="18"/>
      <x:c r="R373" s="16"/>
      <x:c r="S373" s="16"/>
      <x:c r="T373" s="16"/>
    </x:row>
    <x:row r="374">
      <x:c r="A374" s="16" t="str">
        <x:v>抚州市</x:v>
      </x:c>
      <x:c r="B374" s="16" t="str">
        <x:v>资溪县</x:v>
      </x:c>
      <x:c r="C374" s="17" t="n">
        <x:v>2020</x:v>
      </x:c>
      <x:c r="D374" s="18"/>
      <x:c r="E374" s="18"/>
      <x:c r="F374" s="17"/>
      <x:c r="G374" s="18"/>
      <x:c r="H374" s="18"/>
      <x:c r="I374" s="18"/>
      <x:c r="J374" s="18"/>
      <x:c r="K374" s="18"/>
      <x:c r="L374" s="18"/>
      <x:c r="M374" s="18"/>
      <x:c r="N374" s="17"/>
      <x:c r="O374" s="18"/>
      <x:c r="P374" s="18"/>
      <x:c r="Q374" s="18"/>
      <x:c r="R374" s="16"/>
      <x:c r="S374" s="16"/>
      <x:c r="T374" s="16"/>
    </x:row>
    <x:row r="375">
      <x:c r="A375" s="16" t="str">
        <x:v>抚州市</x:v>
      </x:c>
      <x:c r="B375" s="16" t="str">
        <x:v>资溪县</x:v>
      </x:c>
      <x:c r="C375" s="17" t="n">
        <x:v>2021</x:v>
      </x:c>
      <x:c r="D375" s="18"/>
      <x:c r="E375" s="18"/>
      <x:c r="F375" s="17"/>
      <x:c r="G375" s="18"/>
      <x:c r="H375" s="18"/>
      <x:c r="I375" s="18"/>
      <x:c r="J375" s="18"/>
      <x:c r="K375" s="18"/>
      <x:c r="L375" s="18"/>
      <x:c r="M375" s="18"/>
      <x:c r="N375" s="17"/>
      <x:c r="O375" s="18"/>
      <x:c r="P375" s="18"/>
      <x:c r="Q375" s="18"/>
      <x:c r="R375" s="16"/>
      <x:c r="S375" s="16"/>
      <x:c r="T375" s="16"/>
    </x:row>
    <x:row r="376">
      <x:c r="A376" s="16" t="str">
        <x:v>抚州市</x:v>
      </x:c>
      <x:c r="B376" s="16" t="str">
        <x:v>资溪县</x:v>
      </x:c>
      <x:c r="C376" s="17" t="n">
        <x:v>2022</x:v>
      </x:c>
      <x:c r="D376" s="18"/>
      <x:c r="E376" s="18"/>
      <x:c r="F376" s="17"/>
      <x:c r="G376" s="18"/>
      <x:c r="H376" s="18"/>
      <x:c r="I376" s="18"/>
      <x:c r="J376" s="18"/>
      <x:c r="K376" s="18"/>
      <x:c r="L376" s="18"/>
      <x:c r="M376" s="18"/>
      <x:c r="N376" s="17"/>
      <x:c r="O376" s="18"/>
      <x:c r="P376" s="18"/>
      <x:c r="Q376" s="18"/>
      <x:c r="R376" s="16"/>
      <x:c r="S376" s="16"/>
      <x:c r="T376" s="16"/>
    </x:row>
    <x:row r="377">
      <x:c r="A377" s="16" t="str">
        <x:v>抚州市</x:v>
      </x:c>
      <x:c r="B377" s="16" t="str">
        <x:v>资溪县</x:v>
      </x:c>
      <x:c r="C377" s="17" t="n">
        <x:v>2023</x:v>
      </x:c>
      <x:c r="D377" s="18"/>
      <x:c r="E377" s="18"/>
      <x:c r="F377" s="17"/>
      <x:c r="G377" s="18"/>
      <x:c r="H377" s="18"/>
      <x:c r="I377" s="18"/>
      <x:c r="J377" s="18"/>
      <x:c r="K377" s="18"/>
      <x:c r="L377" s="18"/>
      <x:c r="M377" s="18"/>
      <x:c r="N377" s="17"/>
      <x:c r="O377" s="18"/>
      <x:c r="P377" s="18"/>
      <x:c r="Q377" s="18"/>
      <x:c r="R377" s="16"/>
      <x:c r="S377" s="16"/>
      <x:c r="T377" s="16"/>
    </x:row>
    <x:row r="378">
      <x:c r="A378" s="16" t="str">
        <x:v>抚州市</x:v>
      </x:c>
      <x:c r="B378" s="16" t="str">
        <x:v>资溪县</x:v>
      </x:c>
      <x:c r="C378" s="17" t="n">
        <x:v>2024</x:v>
      </x:c>
      <x:c r="D378" s="18"/>
      <x:c r="E378" s="18"/>
      <x:c r="F378" s="17"/>
      <x:c r="G378" s="18"/>
      <x:c r="H378" s="18"/>
      <x:c r="I378" s="18"/>
      <x:c r="J378" s="18"/>
      <x:c r="K378" s="18"/>
      <x:c r="L378" s="18"/>
      <x:c r="M378" s="18"/>
      <x:c r="N378" s="17"/>
      <x:c r="O378" s="18"/>
      <x:c r="P378" s="18"/>
      <x:c r="Q378" s="18"/>
      <x:c r="R378" s="16"/>
      <x:c r="S378" s="16"/>
      <x:c r="T378" s="16"/>
    </x:row>
    <x:row r="379">
      <x:c r="A379" s="16" t="str">
        <x:v>抚州市</x:v>
      </x:c>
      <x:c r="B379" s="16" t="str">
        <x:v>资溪县</x:v>
      </x:c>
      <x:c r="C379" s="17" t="n">
        <x:v>2025</x:v>
      </x:c>
      <x:c r="D379" s="18"/>
      <x:c r="E379" s="18"/>
      <x:c r="F379" s="17"/>
      <x:c r="G379" s="18"/>
      <x:c r="H379" s="18"/>
      <x:c r="I379" s="18"/>
      <x:c r="J379" s="18"/>
      <x:c r="K379" s="18"/>
      <x:c r="L379" s="18"/>
      <x:c r="M379" s="18"/>
      <x:c r="N379" s="17"/>
      <x:c r="O379" s="18"/>
      <x:c r="P379" s="18"/>
      <x:c r="Q379" s="18"/>
      <x:c r="R379" s="16"/>
      <x:c r="S379" s="16"/>
      <x:c r="T379" s="16"/>
    </x:row>
    <x:row r="380">
      <x:c r="A380" s="16" t="str">
        <x:v>抚州市</x:v>
      </x:c>
      <x:c r="B380" s="16" t="str">
        <x:v>广昌县</x:v>
      </x:c>
      <x:c r="C380" s="17" t="n">
        <x:v>2020</x:v>
      </x:c>
      <x:c r="D380" s="18"/>
      <x:c r="E380" s="18"/>
      <x:c r="F380" s="17"/>
      <x:c r="G380" s="18"/>
      <x:c r="H380" s="18"/>
      <x:c r="I380" s="18"/>
      <x:c r="J380" s="18"/>
      <x:c r="K380" s="18"/>
      <x:c r="L380" s="18"/>
      <x:c r="M380" s="18"/>
      <x:c r="N380" s="17"/>
      <x:c r="O380" s="18"/>
      <x:c r="P380" s="18"/>
      <x:c r="Q380" s="18"/>
      <x:c r="R380" s="16"/>
      <x:c r="S380" s="16"/>
      <x:c r="T380" s="16"/>
    </x:row>
    <x:row r="381">
      <x:c r="A381" s="16" t="str">
        <x:v>抚州市</x:v>
      </x:c>
      <x:c r="B381" s="16" t="str">
        <x:v>广昌县</x:v>
      </x:c>
      <x:c r="C381" s="17" t="n">
        <x:v>2021</x:v>
      </x:c>
      <x:c r="D381" s="18"/>
      <x:c r="E381" s="18"/>
      <x:c r="F381" s="17"/>
      <x:c r="G381" s="18"/>
      <x:c r="H381" s="18"/>
      <x:c r="I381" s="18"/>
      <x:c r="J381" s="18"/>
      <x:c r="K381" s="18"/>
      <x:c r="L381" s="18"/>
      <x:c r="M381" s="18"/>
      <x:c r="N381" s="17"/>
      <x:c r="O381" s="18"/>
      <x:c r="P381" s="18"/>
      <x:c r="Q381" s="18"/>
      <x:c r="R381" s="16"/>
      <x:c r="S381" s="16"/>
      <x:c r="T381" s="16"/>
    </x:row>
    <x:row r="382">
      <x:c r="A382" s="16" t="str">
        <x:v>抚州市</x:v>
      </x:c>
      <x:c r="B382" s="16" t="str">
        <x:v>广昌县</x:v>
      </x:c>
      <x:c r="C382" s="17" t="n">
        <x:v>2022</x:v>
      </x:c>
      <x:c r="D382" s="18"/>
      <x:c r="E382" s="18"/>
      <x:c r="F382" s="17"/>
      <x:c r="G382" s="18"/>
      <x:c r="H382" s="18"/>
      <x:c r="I382" s="18"/>
      <x:c r="J382" s="18"/>
      <x:c r="K382" s="18"/>
      <x:c r="L382" s="18"/>
      <x:c r="M382" s="18"/>
      <x:c r="N382" s="17"/>
      <x:c r="O382" s="18"/>
      <x:c r="P382" s="18"/>
      <x:c r="Q382" s="18"/>
      <x:c r="R382" s="16"/>
      <x:c r="S382" s="16"/>
      <x:c r="T382" s="16"/>
    </x:row>
    <x:row r="383">
      <x:c r="A383" s="16" t="str">
        <x:v>抚州市</x:v>
      </x:c>
      <x:c r="B383" s="16" t="str">
        <x:v>广昌县</x:v>
      </x:c>
      <x:c r="C383" s="17" t="n">
        <x:v>2023</x:v>
      </x:c>
      <x:c r="D383" s="18"/>
      <x:c r="E383" s="18"/>
      <x:c r="F383" s="17"/>
      <x:c r="G383" s="18"/>
      <x:c r="H383" s="18"/>
      <x:c r="I383" s="18"/>
      <x:c r="J383" s="18"/>
      <x:c r="K383" s="18"/>
      <x:c r="L383" s="18"/>
      <x:c r="M383" s="18"/>
      <x:c r="N383" s="17"/>
      <x:c r="O383" s="18"/>
      <x:c r="P383" s="18"/>
      <x:c r="Q383" s="18"/>
      <x:c r="R383" s="16"/>
      <x:c r="S383" s="16"/>
      <x:c r="T383" s="16"/>
    </x:row>
    <x:row r="384">
      <x:c r="A384" s="16" t="str">
        <x:v>抚州市</x:v>
      </x:c>
      <x:c r="B384" s="16" t="str">
        <x:v>广昌县</x:v>
      </x:c>
      <x:c r="C384" s="17" t="n">
        <x:v>2024</x:v>
      </x:c>
      <x:c r="D384" s="18"/>
      <x:c r="E384" s="18"/>
      <x:c r="F384" s="17"/>
      <x:c r="G384" s="18"/>
      <x:c r="H384" s="18"/>
      <x:c r="I384" s="18"/>
      <x:c r="J384" s="18"/>
      <x:c r="K384" s="18"/>
      <x:c r="L384" s="18"/>
      <x:c r="M384" s="18"/>
      <x:c r="N384" s="17"/>
      <x:c r="O384" s="18"/>
      <x:c r="P384" s="18"/>
      <x:c r="Q384" s="18"/>
      <x:c r="R384" s="16"/>
      <x:c r="S384" s="16"/>
      <x:c r="T384" s="16"/>
    </x:row>
    <x:row r="385">
      <x:c r="A385" s="16" t="str">
        <x:v>抚州市</x:v>
      </x:c>
      <x:c r="B385" s="16" t="str">
        <x:v>广昌县</x:v>
      </x:c>
      <x:c r="C385" s="17" t="n">
        <x:v>2025</x:v>
      </x:c>
      <x:c r="D385" s="18"/>
      <x:c r="E385" s="18"/>
      <x:c r="F385" s="17"/>
      <x:c r="G385" s="18"/>
      <x:c r="H385" s="18"/>
      <x:c r="I385" s="18"/>
      <x:c r="J385" s="18"/>
      <x:c r="K385" s="18"/>
      <x:c r="L385" s="18"/>
      <x:c r="M385" s="18"/>
      <x:c r="N385" s="17"/>
      <x:c r="O385" s="18"/>
      <x:c r="P385" s="18"/>
      <x:c r="Q385" s="18"/>
      <x:c r="R385" s="16"/>
      <x:c r="S385" s="16"/>
      <x:c r="T385" s="16"/>
    </x:row>
    <x:row r="386">
      <x:c r="A386" s="16" t="str">
        <x:v>上饶市</x:v>
      </x:c>
      <x:c r="B386" s="16" t="str">
        <x:v>玉山县</x:v>
      </x:c>
      <x:c r="C386" s="17" t="n">
        <x:v>2020</x:v>
      </x:c>
      <x:c r="D386" s="18" t="n">
        <x:v>225.87</x:v>
      </x:c>
      <x:c r="E386" s="18"/>
      <x:c r="F386" s="17"/>
      <x:c r="G386" s="18"/>
      <x:c r="H386" s="18"/>
      <x:c r="I386" s="18"/>
      <x:c r="J386" s="18"/>
      <x:c r="K386" s="18"/>
      <x:c r="L386" s="18"/>
      <x:c r="M386" s="18"/>
      <x:c r="N386" s="17"/>
      <x:c r="O386" s="18"/>
      <x:c r="P386" s="18"/>
      <x:c r="Q386" s="18"/>
      <x:c r="R386" s="16" t="str">
        <x:v>C</x:v>
      </x:c>
      <x:c r="S386" s="16" t="str">
        <x:v>https://www.wolicai.com/village/article/8120</x:v>
      </x:c>
      <x:c r="T386" s="16" t="str">
        <x:v>二手整理；建议后续用上饶统计年鉴替换</x:v>
      </x:c>
    </x:row>
    <x:row r="387">
      <x:c r="A387" s="16" t="str">
        <x:v>上饶市</x:v>
      </x:c>
      <x:c r="B387" s="16" t="str">
        <x:v>玉山县</x:v>
      </x:c>
      <x:c r="C387" s="17" t="n">
        <x:v>2021</x:v>
      </x:c>
      <x:c r="D387" s="18" t="n">
        <x:v>265.55</x:v>
      </x:c>
      <x:c r="E387" s="18"/>
      <x:c r="F387" s="17"/>
      <x:c r="G387" s="18"/>
      <x:c r="H387" s="18"/>
      <x:c r="I387" s="18"/>
      <x:c r="J387" s="18"/>
      <x:c r="K387" s="18"/>
      <x:c r="L387" s="18"/>
      <x:c r="M387" s="18"/>
      <x:c r="N387" s="17"/>
      <x:c r="O387" s="18"/>
      <x:c r="P387" s="18"/>
      <x:c r="Q387" s="18"/>
      <x:c r="R387" s="16" t="str">
        <x:v>B</x:v>
      </x:c>
      <x:c r="S387" s="16" t="str">
        <x:v>https://www.maigoo.com/news/632974.html</x:v>
      </x:c>
      <x:c r="T387" s="16" t="str">
        <x:v>GDP排行聚合，来源各地统计公报</x:v>
      </x:c>
    </x:row>
    <x:row r="388">
      <x:c r="A388" s="16" t="str">
        <x:v>上饶市</x:v>
      </x:c>
      <x:c r="B388" s="16" t="str">
        <x:v>玉山县</x:v>
      </x:c>
      <x:c r="C388" s="17" t="n">
        <x:v>2022</x:v>
      </x:c>
      <x:c r="D388" s="18"/>
      <x:c r="E388" s="18"/>
      <x:c r="F388" s="17"/>
      <x:c r="G388" s="18"/>
      <x:c r="H388" s="18"/>
      <x:c r="I388" s="18"/>
      <x:c r="J388" s="18"/>
      <x:c r="K388" s="18"/>
      <x:c r="L388" s="18"/>
      <x:c r="M388" s="18"/>
      <x:c r="N388" s="17"/>
      <x:c r="O388" s="18"/>
      <x:c r="P388" s="18"/>
      <x:c r="Q388" s="18"/>
      <x:c r="R388" s="16"/>
      <x:c r="S388" s="16"/>
      <x:c r="T388" s="16"/>
    </x:row>
    <x:row r="389">
      <x:c r="A389" s="16" t="str">
        <x:v>上饶市</x:v>
      </x:c>
      <x:c r="B389" s="16" t="str">
        <x:v>玉山县</x:v>
      </x:c>
      <x:c r="C389" s="17" t="n">
        <x:v>2023</x:v>
      </x:c>
      <x:c r="D389" s="18"/>
      <x:c r="E389" s="18"/>
      <x:c r="F389" s="17"/>
      <x:c r="G389" s="18"/>
      <x:c r="H389" s="18"/>
      <x:c r="I389" s="18"/>
      <x:c r="J389" s="18"/>
      <x:c r="K389" s="18"/>
      <x:c r="L389" s="18"/>
      <x:c r="M389" s="18"/>
      <x:c r="N389" s="17"/>
      <x:c r="O389" s="18"/>
      <x:c r="P389" s="18"/>
      <x:c r="Q389" s="18"/>
      <x:c r="R389" s="16"/>
      <x:c r="S389" s="16"/>
      <x:c r="T389" s="16"/>
    </x:row>
    <x:row r="390">
      <x:c r="A390" s="16" t="str">
        <x:v>上饶市</x:v>
      </x:c>
      <x:c r="B390" s="16" t="str">
        <x:v>玉山县</x:v>
      </x:c>
      <x:c r="C390" s="17" t="n">
        <x:v>2024</x:v>
      </x:c>
      <x:c r="D390" s="18"/>
      <x:c r="E390" s="18"/>
      <x:c r="F390" s="17"/>
      <x:c r="G390" s="18"/>
      <x:c r="H390" s="18"/>
      <x:c r="I390" s="18"/>
      <x:c r="J390" s="18"/>
      <x:c r="K390" s="18"/>
      <x:c r="L390" s="18"/>
      <x:c r="M390" s="18"/>
      <x:c r="N390" s="17"/>
      <x:c r="O390" s="18"/>
      <x:c r="P390" s="18"/>
      <x:c r="Q390" s="18"/>
      <x:c r="R390" s="16"/>
      <x:c r="S390" s="16"/>
      <x:c r="T390" s="16"/>
    </x:row>
    <x:row r="391">
      <x:c r="A391" s="16" t="str">
        <x:v>上饶市</x:v>
      </x:c>
      <x:c r="B391" s="16" t="str">
        <x:v>玉山县</x:v>
      </x:c>
      <x:c r="C391" s="17" t="n">
        <x:v>2025</x:v>
      </x:c>
      <x:c r="D391" s="18"/>
      <x:c r="E391" s="18"/>
      <x:c r="F391" s="17"/>
      <x:c r="G391" s="18"/>
      <x:c r="H391" s="18"/>
      <x:c r="I391" s="18"/>
      <x:c r="J391" s="18"/>
      <x:c r="K391" s="18"/>
      <x:c r="L391" s="18"/>
      <x:c r="M391" s="18"/>
      <x:c r="N391" s="17"/>
      <x:c r="O391" s="18"/>
      <x:c r="P391" s="18"/>
      <x:c r="Q391" s="18"/>
      <x:c r="R391" s="16"/>
      <x:c r="S391" s="16"/>
      <x:c r="T391" s="16"/>
    </x:row>
    <x:row r="392">
      <x:c r="A392" s="16" t="str">
        <x:v>上饶市</x:v>
      </x:c>
      <x:c r="B392" s="16" t="str">
        <x:v>铅山县</x:v>
      </x:c>
      <x:c r="C392" s="17" t="n">
        <x:v>2020</x:v>
      </x:c>
      <x:c r="D392" s="18" t="n">
        <x:v>160.41</x:v>
      </x:c>
      <x:c r="E392" s="18"/>
      <x:c r="F392" s="17"/>
      <x:c r="G392" s="18"/>
      <x:c r="H392" s="18"/>
      <x:c r="I392" s="18"/>
      <x:c r="J392" s="18"/>
      <x:c r="K392" s="18"/>
      <x:c r="L392" s="18"/>
      <x:c r="M392" s="18"/>
      <x:c r="N392" s="17"/>
      <x:c r="O392" s="18"/>
      <x:c r="P392" s="18"/>
      <x:c r="Q392" s="18"/>
      <x:c r="R392" s="16" t="str">
        <x:v>C</x:v>
      </x:c>
      <x:c r="S392" s="16" t="str">
        <x:v>https://www.wolicai.com/village/article/8120</x:v>
      </x:c>
      <x:c r="T392" s="16" t="str">
        <x:v>二手整理；建议后续用上饶统计年鉴替换</x:v>
      </x:c>
    </x:row>
    <x:row r="393">
      <x:c r="A393" s="16" t="str">
        <x:v>上饶市</x:v>
      </x:c>
      <x:c r="B393" s="16" t="str">
        <x:v>铅山县</x:v>
      </x:c>
      <x:c r="C393" s="17" t="n">
        <x:v>2021</x:v>
      </x:c>
      <x:c r="D393" s="18"/>
      <x:c r="E393" s="18"/>
      <x:c r="F393" s="17"/>
      <x:c r="G393" s="18"/>
      <x:c r="H393" s="18"/>
      <x:c r="I393" s="18"/>
      <x:c r="J393" s="18"/>
      <x:c r="K393" s="18"/>
      <x:c r="L393" s="18"/>
      <x:c r="M393" s="18"/>
      <x:c r="N393" s="17"/>
      <x:c r="O393" s="18"/>
      <x:c r="P393" s="18"/>
      <x:c r="Q393" s="18"/>
      <x:c r="R393" s="16"/>
      <x:c r="S393" s="16"/>
      <x:c r="T393" s="16"/>
    </x:row>
    <x:row r="394">
      <x:c r="A394" s="16" t="str">
        <x:v>上饶市</x:v>
      </x:c>
      <x:c r="B394" s="16" t="str">
        <x:v>铅山县</x:v>
      </x:c>
      <x:c r="C394" s="17" t="n">
        <x:v>2022</x:v>
      </x:c>
      <x:c r="D394" s="18"/>
      <x:c r="E394" s="18"/>
      <x:c r="F394" s="17"/>
      <x:c r="G394" s="18"/>
      <x:c r="H394" s="18"/>
      <x:c r="I394" s="18"/>
      <x:c r="J394" s="18"/>
      <x:c r="K394" s="18"/>
      <x:c r="L394" s="18"/>
      <x:c r="M394" s="18"/>
      <x:c r="N394" s="17"/>
      <x:c r="O394" s="18"/>
      <x:c r="P394" s="18"/>
      <x:c r="Q394" s="18"/>
      <x:c r="R394" s="16"/>
      <x:c r="S394" s="16"/>
      <x:c r="T394" s="16"/>
    </x:row>
    <x:row r="395">
      <x:c r="A395" s="16" t="str">
        <x:v>上饶市</x:v>
      </x:c>
      <x:c r="B395" s="16" t="str">
        <x:v>铅山县</x:v>
      </x:c>
      <x:c r="C395" s="17" t="n">
        <x:v>2023</x:v>
      </x:c>
      <x:c r="D395" s="18"/>
      <x:c r="E395" s="18"/>
      <x:c r="F395" s="17"/>
      <x:c r="G395" s="18"/>
      <x:c r="H395" s="18"/>
      <x:c r="I395" s="18"/>
      <x:c r="J395" s="18"/>
      <x:c r="K395" s="18"/>
      <x:c r="L395" s="18"/>
      <x:c r="M395" s="18"/>
      <x:c r="N395" s="17"/>
      <x:c r="O395" s="18"/>
      <x:c r="P395" s="18"/>
      <x:c r="Q395" s="18"/>
      <x:c r="R395" s="16"/>
      <x:c r="S395" s="16"/>
      <x:c r="T395" s="16"/>
    </x:row>
    <x:row r="396">
      <x:c r="A396" s="16" t="str">
        <x:v>上饶市</x:v>
      </x:c>
      <x:c r="B396" s="16" t="str">
        <x:v>铅山县</x:v>
      </x:c>
      <x:c r="C396" s="17" t="n">
        <x:v>2024</x:v>
      </x:c>
      <x:c r="D396" s="18"/>
      <x:c r="E396" s="18"/>
      <x:c r="F396" s="17"/>
      <x:c r="G396" s="18"/>
      <x:c r="H396" s="18"/>
      <x:c r="I396" s="18"/>
      <x:c r="J396" s="18"/>
      <x:c r="K396" s="18"/>
      <x:c r="L396" s="18"/>
      <x:c r="M396" s="18"/>
      <x:c r="N396" s="17"/>
      <x:c r="O396" s="18"/>
      <x:c r="P396" s="18"/>
      <x:c r="Q396" s="18"/>
      <x:c r="R396" s="16"/>
      <x:c r="S396" s="16"/>
      <x:c r="T396" s="16"/>
    </x:row>
    <x:row r="397">
      <x:c r="A397" s="16" t="str">
        <x:v>上饶市</x:v>
      </x:c>
      <x:c r="B397" s="16" t="str">
        <x:v>铅山县</x:v>
      </x:c>
      <x:c r="C397" s="17" t="n">
        <x:v>2025</x:v>
      </x:c>
      <x:c r="D397" s="18"/>
      <x:c r="E397" s="18"/>
      <x:c r="F397" s="17"/>
      <x:c r="G397" s="18"/>
      <x:c r="H397" s="18"/>
      <x:c r="I397" s="18"/>
      <x:c r="J397" s="18"/>
      <x:c r="K397" s="18"/>
      <x:c r="L397" s="18"/>
      <x:c r="M397" s="18"/>
      <x:c r="N397" s="17"/>
      <x:c r="O397" s="18"/>
      <x:c r="P397" s="18"/>
      <x:c r="Q397" s="18"/>
      <x:c r="R397" s="16"/>
      <x:c r="S397" s="16"/>
      <x:c r="T397" s="16"/>
    </x:row>
    <x:row r="398">
      <x:c r="A398" s="16" t="str">
        <x:v>上饶市</x:v>
      </x:c>
      <x:c r="B398" s="16" t="str">
        <x:v>横峰县</x:v>
      </x:c>
      <x:c r="C398" s="17" t="n">
        <x:v>2020</x:v>
      </x:c>
      <x:c r="D398" s="18" t="n">
        <x:v>86.4442</x:v>
      </x:c>
      <x:c r="E398" s="18"/>
      <x:c r="F398" s="17"/>
      <x:c r="G398" s="18"/>
      <x:c r="H398" s="18"/>
      <x:c r="I398" s="18"/>
      <x:c r="J398" s="18"/>
      <x:c r="K398" s="18"/>
      <x:c r="L398" s="18"/>
      <x:c r="M398" s="18"/>
      <x:c r="N398" s="17"/>
      <x:c r="O398" s="18"/>
      <x:c r="P398" s="18"/>
      <x:c r="Q398" s="18"/>
      <x:c r="R398" s="16" t="str">
        <x:v>C</x:v>
      </x:c>
      <x:c r="S398" s="16" t="str">
        <x:v>https://www.hongheiku.com/xianjirank/jxsgdp.html</x:v>
      </x:c>
      <x:c r="T398" s="16" t="str">
        <x:v>历史排行页；待官方年鉴替换</x:v>
      </x:c>
    </x:row>
    <x:row r="399">
      <x:c r="A399" s="16" t="str">
        <x:v>上饶市</x:v>
      </x:c>
      <x:c r="B399" s="16" t="str">
        <x:v>横峰县</x:v>
      </x:c>
      <x:c r="C399" s="17" t="n">
        <x:v>2021</x:v>
      </x:c>
      <x:c r="D399" s="18"/>
      <x:c r="E399" s="18"/>
      <x:c r="F399" s="17"/>
      <x:c r="G399" s="18"/>
      <x:c r="H399" s="18"/>
      <x:c r="I399" s="18"/>
      <x:c r="J399" s="18"/>
      <x:c r="K399" s="18"/>
      <x:c r="L399" s="18"/>
      <x:c r="M399" s="18"/>
      <x:c r="N399" s="17"/>
      <x:c r="O399" s="18"/>
      <x:c r="P399" s="18"/>
      <x:c r="Q399" s="18"/>
      <x:c r="R399" s="16"/>
      <x:c r="S399" s="16"/>
      <x:c r="T399" s="16"/>
    </x:row>
    <x:row r="400">
      <x:c r="A400" s="16" t="str">
        <x:v>上饶市</x:v>
      </x:c>
      <x:c r="B400" s="16" t="str">
        <x:v>横峰县</x:v>
      </x:c>
      <x:c r="C400" s="17" t="n">
        <x:v>2022</x:v>
      </x:c>
      <x:c r="D400" s="18"/>
      <x:c r="E400" s="18"/>
      <x:c r="F400" s="17"/>
      <x:c r="G400" s="18"/>
      <x:c r="H400" s="18"/>
      <x:c r="I400" s="18"/>
      <x:c r="J400" s="18"/>
      <x:c r="K400" s="18"/>
      <x:c r="L400" s="18"/>
      <x:c r="M400" s="18"/>
      <x:c r="N400" s="17"/>
      <x:c r="O400" s="18"/>
      <x:c r="P400" s="18"/>
      <x:c r="Q400" s="18"/>
      <x:c r="R400" s="16"/>
      <x:c r="S400" s="16"/>
      <x:c r="T400" s="16"/>
    </x:row>
    <x:row r="401">
      <x:c r="A401" s="16" t="str">
        <x:v>上饶市</x:v>
      </x:c>
      <x:c r="B401" s="16" t="str">
        <x:v>横峰县</x:v>
      </x:c>
      <x:c r="C401" s="17" t="n">
        <x:v>2023</x:v>
      </x:c>
      <x:c r="D401" s="18"/>
      <x:c r="E401" s="18"/>
      <x:c r="F401" s="17"/>
      <x:c r="G401" s="18"/>
      <x:c r="H401" s="18"/>
      <x:c r="I401" s="18"/>
      <x:c r="J401" s="18"/>
      <x:c r="K401" s="18"/>
      <x:c r="L401" s="18"/>
      <x:c r="M401" s="18"/>
      <x:c r="N401" s="17"/>
      <x:c r="O401" s="18"/>
      <x:c r="P401" s="18"/>
      <x:c r="Q401" s="18"/>
      <x:c r="R401" s="16"/>
      <x:c r="S401" s="16"/>
      <x:c r="T401" s="16"/>
    </x:row>
    <x:row r="402">
      <x:c r="A402" s="16" t="str">
        <x:v>上饶市</x:v>
      </x:c>
      <x:c r="B402" s="16" t="str">
        <x:v>横峰县</x:v>
      </x:c>
      <x:c r="C402" s="17" t="n">
        <x:v>2024</x:v>
      </x:c>
      <x:c r="D402" s="18"/>
      <x:c r="E402" s="18"/>
      <x:c r="F402" s="17"/>
      <x:c r="G402" s="18"/>
      <x:c r="H402" s="18"/>
      <x:c r="I402" s="18"/>
      <x:c r="J402" s="18"/>
      <x:c r="K402" s="18"/>
      <x:c r="L402" s="18"/>
      <x:c r="M402" s="18"/>
      <x:c r="N402" s="17"/>
      <x:c r="O402" s="18"/>
      <x:c r="P402" s="18"/>
      <x:c r="Q402" s="18"/>
      <x:c r="R402" s="16"/>
      <x:c r="S402" s="16"/>
      <x:c r="T402" s="16"/>
    </x:row>
    <x:row r="403">
      <x:c r="A403" s="16" t="str">
        <x:v>上饶市</x:v>
      </x:c>
      <x:c r="B403" s="16" t="str">
        <x:v>横峰县</x:v>
      </x:c>
      <x:c r="C403" s="17" t="n">
        <x:v>2025</x:v>
      </x:c>
      <x:c r="D403" s="18"/>
      <x:c r="E403" s="18"/>
      <x:c r="F403" s="17"/>
      <x:c r="G403" s="18"/>
      <x:c r="H403" s="18"/>
      <x:c r="I403" s="18"/>
      <x:c r="J403" s="18"/>
      <x:c r="K403" s="18"/>
      <x:c r="L403" s="18"/>
      <x:c r="M403" s="18"/>
      <x:c r="N403" s="17"/>
      <x:c r="O403" s="18"/>
      <x:c r="P403" s="18"/>
      <x:c r="Q403" s="18"/>
      <x:c r="R403" s="16"/>
      <x:c r="S403" s="16"/>
      <x:c r="T403" s="16"/>
    </x:row>
    <x:row r="404">
      <x:c r="A404" s="16" t="str">
        <x:v>上饶市</x:v>
      </x:c>
      <x:c r="B404" s="16" t="str">
        <x:v>弋阳县</x:v>
      </x:c>
      <x:c r="C404" s="17" t="n">
        <x:v>2020</x:v>
      </x:c>
      <x:c r="D404" s="18" t="n">
        <x:v>128.0483</x:v>
      </x:c>
      <x:c r="E404" s="18"/>
      <x:c r="F404" s="17"/>
      <x:c r="G404" s="18"/>
      <x:c r="H404" s="18"/>
      <x:c r="I404" s="18"/>
      <x:c r="J404" s="18"/>
      <x:c r="K404" s="18"/>
      <x:c r="L404" s="18"/>
      <x:c r="M404" s="18"/>
      <x:c r="N404" s="17"/>
      <x:c r="O404" s="18"/>
      <x:c r="P404" s="18"/>
      <x:c r="Q404" s="18"/>
      <x:c r="R404" s="16" t="str">
        <x:v>C</x:v>
      </x:c>
      <x:c r="S404" s="16" t="str">
        <x:v>https://www.hongheiku.com/xianjirank/jxsgdp.html</x:v>
      </x:c>
      <x:c r="T404" s="16" t="str">
        <x:v>历史排行页；待官方年鉴替换</x:v>
      </x:c>
    </x:row>
    <x:row r="405">
      <x:c r="A405" s="16" t="str">
        <x:v>上饶市</x:v>
      </x:c>
      <x:c r="B405" s="16" t="str">
        <x:v>弋阳县</x:v>
      </x:c>
      <x:c r="C405" s="17" t="n">
        <x:v>2021</x:v>
      </x:c>
      <x:c r="D405" s="18"/>
      <x:c r="E405" s="18"/>
      <x:c r="F405" s="17"/>
      <x:c r="G405" s="18"/>
      <x:c r="H405" s="18"/>
      <x:c r="I405" s="18"/>
      <x:c r="J405" s="18"/>
      <x:c r="K405" s="18"/>
      <x:c r="L405" s="18"/>
      <x:c r="M405" s="18"/>
      <x:c r="N405" s="17"/>
      <x:c r="O405" s="18"/>
      <x:c r="P405" s="18"/>
      <x:c r="Q405" s="18"/>
      <x:c r="R405" s="16"/>
      <x:c r="S405" s="16"/>
      <x:c r="T405" s="16"/>
    </x:row>
    <x:row r="406">
      <x:c r="A406" s="16" t="str">
        <x:v>上饶市</x:v>
      </x:c>
      <x:c r="B406" s="16" t="str">
        <x:v>弋阳县</x:v>
      </x:c>
      <x:c r="C406" s="17" t="n">
        <x:v>2022</x:v>
      </x:c>
      <x:c r="D406" s="18"/>
      <x:c r="E406" s="18"/>
      <x:c r="F406" s="17"/>
      <x:c r="G406" s="18"/>
      <x:c r="H406" s="18"/>
      <x:c r="I406" s="18"/>
      <x:c r="J406" s="18"/>
      <x:c r="K406" s="18"/>
      <x:c r="L406" s="18"/>
      <x:c r="M406" s="18"/>
      <x:c r="N406" s="17"/>
      <x:c r="O406" s="18"/>
      <x:c r="P406" s="18"/>
      <x:c r="Q406" s="18"/>
      <x:c r="R406" s="16"/>
      <x:c r="S406" s="16"/>
      <x:c r="T406" s="16"/>
    </x:row>
    <x:row r="407">
      <x:c r="A407" s="16" t="str">
        <x:v>上饶市</x:v>
      </x:c>
      <x:c r="B407" s="16" t="str">
        <x:v>弋阳县</x:v>
      </x:c>
      <x:c r="C407" s="17" t="n">
        <x:v>2023</x:v>
      </x:c>
      <x:c r="D407" s="18"/>
      <x:c r="E407" s="18"/>
      <x:c r="F407" s="17"/>
      <x:c r="G407" s="18"/>
      <x:c r="H407" s="18"/>
      <x:c r="I407" s="18"/>
      <x:c r="J407" s="18"/>
      <x:c r="K407" s="18"/>
      <x:c r="L407" s="18"/>
      <x:c r="M407" s="18"/>
      <x:c r="N407" s="17"/>
      <x:c r="O407" s="18"/>
      <x:c r="P407" s="18"/>
      <x:c r="Q407" s="18"/>
      <x:c r="R407" s="16"/>
      <x:c r="S407" s="16"/>
      <x:c r="T407" s="16"/>
    </x:row>
    <x:row r="408">
      <x:c r="A408" s="16" t="str">
        <x:v>上饶市</x:v>
      </x:c>
      <x:c r="B408" s="16" t="str">
        <x:v>弋阳县</x:v>
      </x:c>
      <x:c r="C408" s="17" t="n">
        <x:v>2024</x:v>
      </x:c>
      <x:c r="D408" s="18"/>
      <x:c r="E408" s="18"/>
      <x:c r="F408" s="17"/>
      <x:c r="G408" s="18"/>
      <x:c r="H408" s="18"/>
      <x:c r="I408" s="18"/>
      <x:c r="J408" s="18"/>
      <x:c r="K408" s="18"/>
      <x:c r="L408" s="18"/>
      <x:c r="M408" s="18"/>
      <x:c r="N408" s="17"/>
      <x:c r="O408" s="18"/>
      <x:c r="P408" s="18"/>
      <x:c r="Q408" s="18"/>
      <x:c r="R408" s="16"/>
      <x:c r="S408" s="16"/>
      <x:c r="T408" s="16"/>
    </x:row>
    <x:row r="409">
      <x:c r="A409" s="16" t="str">
        <x:v>上饶市</x:v>
      </x:c>
      <x:c r="B409" s="16" t="str">
        <x:v>弋阳县</x:v>
      </x:c>
      <x:c r="C409" s="17" t="n">
        <x:v>2025</x:v>
      </x:c>
      <x:c r="D409" s="18"/>
      <x:c r="E409" s="18"/>
      <x:c r="F409" s="17"/>
      <x:c r="G409" s="18"/>
      <x:c r="H409" s="18"/>
      <x:c r="I409" s="18"/>
      <x:c r="J409" s="18"/>
      <x:c r="K409" s="18"/>
      <x:c r="L409" s="18"/>
      <x:c r="M409" s="18"/>
      <x:c r="N409" s="17"/>
      <x:c r="O409" s="18"/>
      <x:c r="P409" s="18"/>
      <x:c r="Q409" s="18"/>
      <x:c r="R409" s="16"/>
      <x:c r="S409" s="16"/>
      <x:c r="T409" s="16"/>
    </x:row>
    <x:row r="410">
      <x:c r="A410" s="16" t="str">
        <x:v>上饶市</x:v>
      </x:c>
      <x:c r="B410" s="16" t="str">
        <x:v>余干县</x:v>
      </x:c>
      <x:c r="C410" s="17" t="n">
        <x:v>2020</x:v>
      </x:c>
      <x:c r="D410" s="18" t="n">
        <x:v>208.22</x:v>
      </x:c>
      <x:c r="E410" s="18"/>
      <x:c r="F410" s="17"/>
      <x:c r="G410" s="18"/>
      <x:c r="H410" s="18"/>
      <x:c r="I410" s="18"/>
      <x:c r="J410" s="18"/>
      <x:c r="K410" s="18"/>
      <x:c r="L410" s="18"/>
      <x:c r="M410" s="18"/>
      <x:c r="N410" s="17"/>
      <x:c r="O410" s="18"/>
      <x:c r="P410" s="18"/>
      <x:c r="Q410" s="18"/>
      <x:c r="R410" s="16" t="str">
        <x:v>C</x:v>
      </x:c>
      <x:c r="S410" s="16" t="str">
        <x:v>https://www.wolicai.com/village/article/8120</x:v>
      </x:c>
      <x:c r="T410" s="16" t="str">
        <x:v>二手整理；建议后续用上饶统计年鉴替换</x:v>
      </x:c>
    </x:row>
    <x:row r="411">
      <x:c r="A411" s="16" t="str">
        <x:v>上饶市</x:v>
      </x:c>
      <x:c r="B411" s="16" t="str">
        <x:v>余干县</x:v>
      </x:c>
      <x:c r="C411" s="17" t="n">
        <x:v>2021</x:v>
      </x:c>
      <x:c r="D411" s="18"/>
      <x:c r="E411" s="18"/>
      <x:c r="F411" s="17"/>
      <x:c r="G411" s="18"/>
      <x:c r="H411" s="18"/>
      <x:c r="I411" s="18"/>
      <x:c r="J411" s="18"/>
      <x:c r="K411" s="18"/>
      <x:c r="L411" s="18"/>
      <x:c r="M411" s="18"/>
      <x:c r="N411" s="17"/>
      <x:c r="O411" s="18"/>
      <x:c r="P411" s="18"/>
      <x:c r="Q411" s="18"/>
      <x:c r="R411" s="16"/>
      <x:c r="S411" s="16"/>
      <x:c r="T411" s="16"/>
    </x:row>
    <x:row r="412">
      <x:c r="A412" s="16" t="str">
        <x:v>上饶市</x:v>
      </x:c>
      <x:c r="B412" s="16" t="str">
        <x:v>余干县</x:v>
      </x:c>
      <x:c r="C412" s="17" t="n">
        <x:v>2022</x:v>
      </x:c>
      <x:c r="D412" s="18"/>
      <x:c r="E412" s="18"/>
      <x:c r="F412" s="17"/>
      <x:c r="G412" s="18"/>
      <x:c r="H412" s="18"/>
      <x:c r="I412" s="18"/>
      <x:c r="J412" s="18"/>
      <x:c r="K412" s="18"/>
      <x:c r="L412" s="18"/>
      <x:c r="M412" s="18"/>
      <x:c r="N412" s="17"/>
      <x:c r="O412" s="18"/>
      <x:c r="P412" s="18"/>
      <x:c r="Q412" s="18"/>
      <x:c r="R412" s="16"/>
      <x:c r="S412" s="16"/>
      <x:c r="T412" s="16"/>
    </x:row>
    <x:row r="413">
      <x:c r="A413" s="16" t="str">
        <x:v>上饶市</x:v>
      </x:c>
      <x:c r="B413" s="16" t="str">
        <x:v>余干县</x:v>
      </x:c>
      <x:c r="C413" s="17" t="n">
        <x:v>2023</x:v>
      </x:c>
      <x:c r="D413" s="18"/>
      <x:c r="E413" s="18"/>
      <x:c r="F413" s="17"/>
      <x:c r="G413" s="18"/>
      <x:c r="H413" s="18"/>
      <x:c r="I413" s="18"/>
      <x:c r="J413" s="18"/>
      <x:c r="K413" s="18"/>
      <x:c r="L413" s="18"/>
      <x:c r="M413" s="18"/>
      <x:c r="N413" s="17"/>
      <x:c r="O413" s="18"/>
      <x:c r="P413" s="18"/>
      <x:c r="Q413" s="18"/>
      <x:c r="R413" s="16"/>
      <x:c r="S413" s="16"/>
      <x:c r="T413" s="16"/>
    </x:row>
    <x:row r="414">
      <x:c r="A414" s="16" t="str">
        <x:v>上饶市</x:v>
      </x:c>
      <x:c r="B414" s="16" t="str">
        <x:v>余干县</x:v>
      </x:c>
      <x:c r="C414" s="17" t="n">
        <x:v>2024</x:v>
      </x:c>
      <x:c r="D414" s="18"/>
      <x:c r="E414" s="18"/>
      <x:c r="F414" s="17"/>
      <x:c r="G414" s="18"/>
      <x:c r="H414" s="18"/>
      <x:c r="I414" s="18"/>
      <x:c r="J414" s="18"/>
      <x:c r="K414" s="18"/>
      <x:c r="L414" s="18"/>
      <x:c r="M414" s="18"/>
      <x:c r="N414" s="17"/>
      <x:c r="O414" s="18"/>
      <x:c r="P414" s="18"/>
      <x:c r="Q414" s="18"/>
      <x:c r="R414" s="16"/>
      <x:c r="S414" s="16"/>
      <x:c r="T414" s="16"/>
    </x:row>
    <x:row r="415">
      <x:c r="A415" s="16" t="str">
        <x:v>上饶市</x:v>
      </x:c>
      <x:c r="B415" s="16" t="str">
        <x:v>余干县</x:v>
      </x:c>
      <x:c r="C415" s="17" t="n">
        <x:v>2025</x:v>
      </x:c>
      <x:c r="D415" s="18"/>
      <x:c r="E415" s="18"/>
      <x:c r="F415" s="17"/>
      <x:c r="G415" s="18"/>
      <x:c r="H415" s="18"/>
      <x:c r="I415" s="18"/>
      <x:c r="J415" s="18"/>
      <x:c r="K415" s="18"/>
      <x:c r="L415" s="18"/>
      <x:c r="M415" s="18"/>
      <x:c r="N415" s="17"/>
      <x:c r="O415" s="18"/>
      <x:c r="P415" s="18"/>
      <x:c r="Q415" s="18"/>
      <x:c r="R415" s="16"/>
      <x:c r="S415" s="16"/>
      <x:c r="T415" s="16"/>
    </x:row>
    <x:row r="416">
      <x:c r="A416" s="16" t="str">
        <x:v>上饶市</x:v>
      </x:c>
      <x:c r="B416" s="16" t="str">
        <x:v>鄱阳县</x:v>
      </x:c>
      <x:c r="C416" s="17" t="n">
        <x:v>2020</x:v>
      </x:c>
      <x:c r="D416" s="18" t="n">
        <x:v>255.8</x:v>
      </x:c>
      <x:c r="E416" s="18" t="n">
        <x:v>118.4097</x:v>
      </x:c>
      <x:c r="F416" s="17"/>
      <x:c r="G416" s="18"/>
      <x:c r="H416" s="18"/>
      <x:c r="I416" s="18"/>
      <x:c r="J416" s="18"/>
      <x:c r="K416" s="18"/>
      <x:c r="L416" s="18"/>
      <x:c r="M416" s="18"/>
      <x:c r="N416" s="17"/>
      <x:c r="O416" s="18"/>
      <x:c r="P416" s="18"/>
      <x:c r="Q416" s="18"/>
      <x:c r="R416" s="16" t="str">
        <x:v>B</x:v>
      </x:c>
      <x:c r="S416" s="16" t="str">
        <x:v>https://www.renkou.net.cn/hot/news/2023/1110/218693.html</x:v>
      </x:c>
      <x:c r="T416" s="16" t="str">
        <x:v>2020七普常住人口</x:v>
      </x:c>
    </x:row>
    <x:row r="417">
      <x:c r="A417" s="16" t="str">
        <x:v>上饶市</x:v>
      </x:c>
      <x:c r="B417" s="16" t="str">
        <x:v>鄱阳县</x:v>
      </x:c>
      <x:c r="C417" s="17" t="n">
        <x:v>2021</x:v>
      </x:c>
      <x:c r="D417" s="18" t="n">
        <x:v>293.14</x:v>
      </x:c>
      <x:c r="E417" s="18"/>
      <x:c r="F417" s="17"/>
      <x:c r="G417" s="18"/>
      <x:c r="H417" s="18"/>
      <x:c r="I417" s="18"/>
      <x:c r="J417" s="18"/>
      <x:c r="K417" s="18"/>
      <x:c r="L417" s="18"/>
      <x:c r="M417" s="18"/>
      <x:c r="N417" s="17"/>
      <x:c r="O417" s="18"/>
      <x:c r="P417" s="18"/>
      <x:c r="Q417" s="18"/>
      <x:c r="R417" s="16" t="str">
        <x:v>B</x:v>
      </x:c>
      <x:c r="S417" s="16" t="str">
        <x:v>https://www.maigoo.com/news/632974.html</x:v>
      </x:c>
      <x:c r="T417" s="16" t="str">
        <x:v>GDP排行聚合，来源各地统计公报</x:v>
      </x:c>
    </x:row>
    <x:row r="418">
      <x:c r="A418" s="16" t="str">
        <x:v>上饶市</x:v>
      </x:c>
      <x:c r="B418" s="16" t="str">
        <x:v>鄱阳县</x:v>
      </x:c>
      <x:c r="C418" s="17" t="n">
        <x:v>2022</x:v>
      </x:c>
      <x:c r="D418" s="18"/>
      <x:c r="E418" s="18"/>
      <x:c r="F418" s="17"/>
      <x:c r="G418" s="18"/>
      <x:c r="H418" s="18"/>
      <x:c r="I418" s="18"/>
      <x:c r="J418" s="18"/>
      <x:c r="K418" s="18"/>
      <x:c r="L418" s="18"/>
      <x:c r="M418" s="18"/>
      <x:c r="N418" s="17"/>
      <x:c r="O418" s="18"/>
      <x:c r="P418" s="18"/>
      <x:c r="Q418" s="18"/>
      <x:c r="R418" s="16"/>
      <x:c r="S418" s="16"/>
      <x:c r="T418" s="16"/>
    </x:row>
    <x:row r="419">
      <x:c r="A419" s="16" t="str">
        <x:v>上饶市</x:v>
      </x:c>
      <x:c r="B419" s="16" t="str">
        <x:v>鄱阳县</x:v>
      </x:c>
      <x:c r="C419" s="17" t="n">
        <x:v>2023</x:v>
      </x:c>
      <x:c r="D419" s="18"/>
      <x:c r="E419" s="18"/>
      <x:c r="F419" s="17"/>
      <x:c r="G419" s="18"/>
      <x:c r="H419" s="18"/>
      <x:c r="I419" s="18"/>
      <x:c r="J419" s="18"/>
      <x:c r="K419" s="18"/>
      <x:c r="L419" s="18"/>
      <x:c r="M419" s="18"/>
      <x:c r="N419" s="17"/>
      <x:c r="O419" s="18"/>
      <x:c r="P419" s="18"/>
      <x:c r="Q419" s="18"/>
      <x:c r="R419" s="16"/>
      <x:c r="S419" s="16"/>
      <x:c r="T419" s="16"/>
    </x:row>
    <x:row r="420">
      <x:c r="A420" s="16" t="str">
        <x:v>上饶市</x:v>
      </x:c>
      <x:c r="B420" s="16" t="str">
        <x:v>鄱阳县</x:v>
      </x:c>
      <x:c r="C420" s="17" t="n">
        <x:v>2024</x:v>
      </x:c>
      <x:c r="D420" s="18"/>
      <x:c r="E420" s="18"/>
      <x:c r="F420" s="17"/>
      <x:c r="G420" s="18"/>
      <x:c r="H420" s="18"/>
      <x:c r="I420" s="18"/>
      <x:c r="J420" s="18"/>
      <x:c r="K420" s="18"/>
      <x:c r="L420" s="18"/>
      <x:c r="M420" s="18"/>
      <x:c r="N420" s="17"/>
      <x:c r="O420" s="18"/>
      <x:c r="P420" s="18"/>
      <x:c r="Q420" s="18"/>
      <x:c r="R420" s="16"/>
      <x:c r="S420" s="16"/>
      <x:c r="T420" s="16"/>
    </x:row>
    <x:row r="421">
      <x:c r="A421" s="16" t="str">
        <x:v>上饶市</x:v>
      </x:c>
      <x:c r="B421" s="16" t="str">
        <x:v>鄱阳县</x:v>
      </x:c>
      <x:c r="C421" s="17" t="n">
        <x:v>2025</x:v>
      </x:c>
      <x:c r="D421" s="18"/>
      <x:c r="E421" s="18"/>
      <x:c r="F421" s="17"/>
      <x:c r="G421" s="18"/>
      <x:c r="H421" s="18"/>
      <x:c r="I421" s="18"/>
      <x:c r="J421" s="18"/>
      <x:c r="K421" s="18"/>
      <x:c r="L421" s="18"/>
      <x:c r="M421" s="18"/>
      <x:c r="N421" s="17"/>
      <x:c r="O421" s="18"/>
      <x:c r="P421" s="18"/>
      <x:c r="Q421" s="18"/>
      <x:c r="R421" s="16"/>
      <x:c r="S421" s="16"/>
      <x:c r="T421" s="16"/>
    </x:row>
    <x:row r="422">
      <x:c r="A422" s="16" t="str">
        <x:v>上饶市</x:v>
      </x:c>
      <x:c r="B422" s="16" t="str">
        <x:v>万年县</x:v>
      </x:c>
      <x:c r="C422" s="17" t="n">
        <x:v>2020</x:v>
      </x:c>
      <x:c r="D422" s="18" t="n">
        <x:v>174.26</x:v>
      </x:c>
      <x:c r="E422" s="18"/>
      <x:c r="F422" s="17"/>
      <x:c r="G422" s="18"/>
      <x:c r="H422" s="18"/>
      <x:c r="I422" s="18"/>
      <x:c r="J422" s="18"/>
      <x:c r="K422" s="18"/>
      <x:c r="L422" s="18"/>
      <x:c r="M422" s="18"/>
      <x:c r="N422" s="17"/>
      <x:c r="O422" s="18"/>
      <x:c r="P422" s="18"/>
      <x:c r="Q422" s="18"/>
      <x:c r="R422" s="16" t="str">
        <x:v>C</x:v>
      </x:c>
      <x:c r="S422" s="16" t="str">
        <x:v>https://www.wolicai.com/village/article/8120</x:v>
      </x:c>
      <x:c r="T422" s="16" t="str">
        <x:v>二手整理；建议后续用上饶统计年鉴替换</x:v>
      </x:c>
    </x:row>
    <x:row r="423">
      <x:c r="A423" s="16" t="str">
        <x:v>上饶市</x:v>
      </x:c>
      <x:c r="B423" s="16" t="str">
        <x:v>万年县</x:v>
      </x:c>
      <x:c r="C423" s="17" t="n">
        <x:v>2021</x:v>
      </x:c>
      <x:c r="D423" s="18"/>
      <x:c r="E423" s="18"/>
      <x:c r="F423" s="17"/>
      <x:c r="G423" s="18"/>
      <x:c r="H423" s="18"/>
      <x:c r="I423" s="18"/>
      <x:c r="J423" s="18"/>
      <x:c r="K423" s="18"/>
      <x:c r="L423" s="18"/>
      <x:c r="M423" s="18"/>
      <x:c r="N423" s="17"/>
      <x:c r="O423" s="18"/>
      <x:c r="P423" s="18"/>
      <x:c r="Q423" s="18"/>
      <x:c r="R423" s="16"/>
      <x:c r="S423" s="16"/>
      <x:c r="T423" s="16"/>
    </x:row>
    <x:row r="424">
      <x:c r="A424" s="16" t="str">
        <x:v>上饶市</x:v>
      </x:c>
      <x:c r="B424" s="16" t="str">
        <x:v>万年县</x:v>
      </x:c>
      <x:c r="C424" s="17" t="n">
        <x:v>2022</x:v>
      </x:c>
      <x:c r="D424" s="18"/>
      <x:c r="E424" s="18"/>
      <x:c r="F424" s="17"/>
      <x:c r="G424" s="18"/>
      <x:c r="H424" s="18"/>
      <x:c r="I424" s="18"/>
      <x:c r="J424" s="18"/>
      <x:c r="K424" s="18"/>
      <x:c r="L424" s="18"/>
      <x:c r="M424" s="18"/>
      <x:c r="N424" s="17"/>
      <x:c r="O424" s="18"/>
      <x:c r="P424" s="18"/>
      <x:c r="Q424" s="18"/>
      <x:c r="R424" s="16"/>
      <x:c r="S424" s="16"/>
      <x:c r="T424" s="16"/>
    </x:row>
    <x:row r="425">
      <x:c r="A425" s="16" t="str">
        <x:v>上饶市</x:v>
      </x:c>
      <x:c r="B425" s="16" t="str">
        <x:v>万年县</x:v>
      </x:c>
      <x:c r="C425" s="17" t="n">
        <x:v>2023</x:v>
      </x:c>
      <x:c r="D425" s="18"/>
      <x:c r="E425" s="18"/>
      <x:c r="F425" s="17"/>
      <x:c r="G425" s="18"/>
      <x:c r="H425" s="18"/>
      <x:c r="I425" s="18"/>
      <x:c r="J425" s="18"/>
      <x:c r="K425" s="18"/>
      <x:c r="L425" s="18"/>
      <x:c r="M425" s="18"/>
      <x:c r="N425" s="17"/>
      <x:c r="O425" s="18"/>
      <x:c r="P425" s="18"/>
      <x:c r="Q425" s="18"/>
      <x:c r="R425" s="16"/>
      <x:c r="S425" s="16"/>
      <x:c r="T425" s="16"/>
    </x:row>
    <x:row r="426">
      <x:c r="A426" s="16" t="str">
        <x:v>上饶市</x:v>
      </x:c>
      <x:c r="B426" s="16" t="str">
        <x:v>万年县</x:v>
      </x:c>
      <x:c r="C426" s="17" t="n">
        <x:v>2024</x:v>
      </x:c>
      <x:c r="D426" s="18"/>
      <x:c r="E426" s="18"/>
      <x:c r="F426" s="17"/>
      <x:c r="G426" s="18"/>
      <x:c r="H426" s="18"/>
      <x:c r="I426" s="18"/>
      <x:c r="J426" s="18"/>
      <x:c r="K426" s="18"/>
      <x:c r="L426" s="18"/>
      <x:c r="M426" s="18"/>
      <x:c r="N426" s="17"/>
      <x:c r="O426" s="18"/>
      <x:c r="P426" s="18"/>
      <x:c r="Q426" s="18"/>
      <x:c r="R426" s="16"/>
      <x:c r="S426" s="16"/>
      <x:c r="T426" s="16"/>
    </x:row>
    <x:row r="427">
      <x:c r="A427" s="16" t="str">
        <x:v>上饶市</x:v>
      </x:c>
      <x:c r="B427" s="16" t="str">
        <x:v>万年县</x:v>
      </x:c>
      <x:c r="C427" s="17" t="n">
        <x:v>2025</x:v>
      </x:c>
      <x:c r="D427" s="18"/>
      <x:c r="E427" s="18"/>
      <x:c r="F427" s="17"/>
      <x:c r="G427" s="18"/>
      <x:c r="H427" s="18"/>
      <x:c r="I427" s="18"/>
      <x:c r="J427" s="18"/>
      <x:c r="K427" s="18"/>
      <x:c r="L427" s="18"/>
      <x:c r="M427" s="18"/>
      <x:c r="N427" s="17"/>
      <x:c r="O427" s="18"/>
      <x:c r="P427" s="18"/>
      <x:c r="Q427" s="18"/>
      <x:c r="R427" s="16"/>
      <x:c r="S427" s="16"/>
      <x:c r="T427" s="16"/>
    </x:row>
    <x:row r="428">
      <x:c r="A428" s="16" t="str">
        <x:v>上饶市</x:v>
      </x:c>
      <x:c r="B428" s="16" t="str">
        <x:v>婺源县</x:v>
      </x:c>
      <x:c r="C428" s="17" t="n">
        <x:v>2020</x:v>
      </x:c>
      <x:c r="D428" s="18" t="n">
        <x:v>135.32</x:v>
      </x:c>
      <x:c r="E428" s="18"/>
      <x:c r="F428" s="17"/>
      <x:c r="G428" s="18"/>
      <x:c r="H428" s="18"/>
      <x:c r="I428" s="18"/>
      <x:c r="J428" s="18"/>
      <x:c r="K428" s="18"/>
      <x:c r="L428" s="18"/>
      <x:c r="M428" s="18"/>
      <x:c r="N428" s="17"/>
      <x:c r="O428" s="18"/>
      <x:c r="P428" s="18"/>
      <x:c r="Q428" s="18"/>
      <x:c r="R428" s="16" t="str">
        <x:v>C</x:v>
      </x:c>
      <x:c r="S428" s="16" t="str">
        <x:v>https://www.wolicai.com/village/article/8120</x:v>
      </x:c>
      <x:c r="T428" s="16" t="str">
        <x:v>二手整理；建议后续用上饶统计年鉴替换</x:v>
      </x:c>
    </x:row>
    <x:row r="429">
      <x:c r="A429" s="16" t="str">
        <x:v>上饶市</x:v>
      </x:c>
      <x:c r="B429" s="16" t="str">
        <x:v>婺源县</x:v>
      </x:c>
      <x:c r="C429" s="17" t="n">
        <x:v>2021</x:v>
      </x:c>
      <x:c r="D429" s="18"/>
      <x:c r="E429" s="18"/>
      <x:c r="F429" s="17"/>
      <x:c r="G429" s="18"/>
      <x:c r="H429" s="18"/>
      <x:c r="I429" s="18"/>
      <x:c r="J429" s="18"/>
      <x:c r="K429" s="18"/>
      <x:c r="L429" s="18"/>
      <x:c r="M429" s="18"/>
      <x:c r="N429" s="17"/>
      <x:c r="O429" s="18"/>
      <x:c r="P429" s="18"/>
      <x:c r="Q429" s="18"/>
      <x:c r="R429" s="16"/>
      <x:c r="S429" s="16"/>
      <x:c r="T429" s="16"/>
    </x:row>
    <x:row r="430">
      <x:c r="A430" s="16" t="str">
        <x:v>上饶市</x:v>
      </x:c>
      <x:c r="B430" s="16" t="str">
        <x:v>婺源县</x:v>
      </x:c>
      <x:c r="C430" s="17" t="n">
        <x:v>2022</x:v>
      </x:c>
      <x:c r="D430" s="18"/>
      <x:c r="E430" s="18"/>
      <x:c r="F430" s="17"/>
      <x:c r="G430" s="18"/>
      <x:c r="H430" s="18"/>
      <x:c r="I430" s="18"/>
      <x:c r="J430" s="18"/>
      <x:c r="K430" s="18"/>
      <x:c r="L430" s="18"/>
      <x:c r="M430" s="18"/>
      <x:c r="N430" s="17"/>
      <x:c r="O430" s="18"/>
      <x:c r="P430" s="18"/>
      <x:c r="Q430" s="18"/>
      <x:c r="R430" s="16"/>
      <x:c r="S430" s="16"/>
      <x:c r="T430" s="16"/>
    </x:row>
    <x:row r="431">
      <x:c r="A431" s="16" t="str">
        <x:v>上饶市</x:v>
      </x:c>
      <x:c r="B431" s="16" t="str">
        <x:v>婺源县</x:v>
      </x:c>
      <x:c r="C431" s="17" t="n">
        <x:v>2023</x:v>
      </x:c>
      <x:c r="D431" s="18"/>
      <x:c r="E431" s="18"/>
      <x:c r="F431" s="17"/>
      <x:c r="G431" s="18"/>
      <x:c r="H431" s="18"/>
      <x:c r="I431" s="18"/>
      <x:c r="J431" s="18"/>
      <x:c r="K431" s="18"/>
      <x:c r="L431" s="18"/>
      <x:c r="M431" s="18"/>
      <x:c r="N431" s="17"/>
      <x:c r="O431" s="18"/>
      <x:c r="P431" s="18"/>
      <x:c r="Q431" s="18"/>
      <x:c r="R431" s="16"/>
      <x:c r="S431" s="16"/>
      <x:c r="T431" s="16"/>
    </x:row>
    <x:row r="432">
      <x:c r="A432" s="16" t="str">
        <x:v>上饶市</x:v>
      </x:c>
      <x:c r="B432" s="16" t="str">
        <x:v>婺源县</x:v>
      </x:c>
      <x:c r="C432" s="17" t="n">
        <x:v>2024</x:v>
      </x:c>
      <x:c r="D432" s="18"/>
      <x:c r="E432" s="18"/>
      <x:c r="F432" s="17"/>
      <x:c r="G432" s="18"/>
      <x:c r="H432" s="18"/>
      <x:c r="I432" s="18"/>
      <x:c r="J432" s="18"/>
      <x:c r="K432" s="18"/>
      <x:c r="L432" s="18"/>
      <x:c r="M432" s="18"/>
      <x:c r="N432" s="17"/>
      <x:c r="O432" s="18"/>
      <x:c r="P432" s="18"/>
      <x:c r="Q432" s="18"/>
      <x:c r="R432" s="16"/>
      <x:c r="S432" s="16"/>
      <x:c r="T432" s="16"/>
    </x:row>
    <x:row r="433">
      <x:c r="A433" s="16" t="str">
        <x:v>上饶市</x:v>
      </x:c>
      <x:c r="B433" s="16" t="str">
        <x:v>婺源县</x:v>
      </x:c>
      <x:c r="C433" s="17" t="n">
        <x:v>2025</x:v>
      </x:c>
      <x:c r="D433" s="18"/>
      <x:c r="E433" s="18"/>
      <x:c r="F433" s="17"/>
      <x:c r="G433" s="18"/>
      <x:c r="H433" s="18"/>
      <x:c r="I433" s="18"/>
      <x:c r="J433" s="18"/>
      <x:c r="K433" s="18"/>
      <x:c r="L433" s="18"/>
      <x:c r="M433" s="18"/>
      <x:c r="N433" s="17"/>
      <x:c r="O433" s="18"/>
      <x:c r="P433" s="18"/>
      <x:c r="Q433" s="18"/>
      <x:c r="R433" s="16"/>
      <x:c r="S433" s="16"/>
      <x:c r="T433" s="16"/>
    </x:row>
    <x:row r="434">
      <x:c r="A434" s="16" t="str">
        <x:v>上饶市</x:v>
      </x:c>
      <x:c r="B434" s="16" t="str">
        <x:v>德兴市</x:v>
      </x:c>
      <x:c r="C434" s="17" t="n">
        <x:v>2020</x:v>
      </x:c>
      <x:c r="D434" s="18" t="n">
        <x:v>165.96</x:v>
      </x:c>
      <x:c r="E434" s="18"/>
      <x:c r="F434" s="17"/>
      <x:c r="G434" s="18"/>
      <x:c r="H434" s="18"/>
      <x:c r="I434" s="18"/>
      <x:c r="J434" s="18"/>
      <x:c r="K434" s="18"/>
      <x:c r="L434" s="18"/>
      <x:c r="M434" s="18"/>
      <x:c r="N434" s="17"/>
      <x:c r="O434" s="18"/>
      <x:c r="P434" s="18"/>
      <x:c r="Q434" s="18"/>
      <x:c r="R434" s="16" t="str">
        <x:v>C</x:v>
      </x:c>
      <x:c r="S434" s="16" t="str">
        <x:v>https://www.wolicai.com/village/article/8120</x:v>
      </x:c>
      <x:c r="T434" s="16" t="str">
        <x:v>二手整理；建议后续用上饶统计年鉴替换</x:v>
      </x:c>
    </x:row>
    <x:row r="435">
      <x:c r="A435" s="16" t="str">
        <x:v>上饶市</x:v>
      </x:c>
      <x:c r="B435" s="16" t="str">
        <x:v>德兴市</x:v>
      </x:c>
      <x:c r="C435" s="17" t="n">
        <x:v>2021</x:v>
      </x:c>
      <x:c r="D435" s="18"/>
      <x:c r="E435" s="18"/>
      <x:c r="F435" s="17"/>
      <x:c r="G435" s="18"/>
      <x:c r="H435" s="18"/>
      <x:c r="I435" s="18"/>
      <x:c r="J435" s="18"/>
      <x:c r="K435" s="18"/>
      <x:c r="L435" s="18"/>
      <x:c r="M435" s="18"/>
      <x:c r="N435" s="17"/>
      <x:c r="O435" s="18"/>
      <x:c r="P435" s="18"/>
      <x:c r="Q435" s="18"/>
      <x:c r="R435" s="16"/>
      <x:c r="S435" s="16"/>
      <x:c r="T435" s="16"/>
    </x:row>
    <x:row r="436">
      <x:c r="A436" s="16" t="str">
        <x:v>上饶市</x:v>
      </x:c>
      <x:c r="B436" s="16" t="str">
        <x:v>德兴市</x:v>
      </x:c>
      <x:c r="C436" s="17" t="n">
        <x:v>2022</x:v>
      </x:c>
      <x:c r="D436" s="18"/>
      <x:c r="E436" s="18"/>
      <x:c r="F436" s="17"/>
      <x:c r="G436" s="18"/>
      <x:c r="H436" s="18"/>
      <x:c r="I436" s="18"/>
      <x:c r="J436" s="18"/>
      <x:c r="K436" s="18"/>
      <x:c r="L436" s="18"/>
      <x:c r="M436" s="18"/>
      <x:c r="N436" s="17"/>
      <x:c r="O436" s="18"/>
      <x:c r="P436" s="18"/>
      <x:c r="Q436" s="18"/>
      <x:c r="R436" s="16"/>
      <x:c r="S436" s="16"/>
      <x:c r="T436" s="16"/>
    </x:row>
    <x:row r="437">
      <x:c r="A437" s="16" t="str">
        <x:v>上饶市</x:v>
      </x:c>
      <x:c r="B437" s="16" t="str">
        <x:v>德兴市</x:v>
      </x:c>
      <x:c r="C437" s="17" t="n">
        <x:v>2023</x:v>
      </x:c>
      <x:c r="D437" s="18"/>
      <x:c r="E437" s="18"/>
      <x:c r="F437" s="17"/>
      <x:c r="G437" s="18"/>
      <x:c r="H437" s="18"/>
      <x:c r="I437" s="18"/>
      <x:c r="J437" s="18"/>
      <x:c r="K437" s="18"/>
      <x:c r="L437" s="18"/>
      <x:c r="M437" s="18"/>
      <x:c r="N437" s="17"/>
      <x:c r="O437" s="18"/>
      <x:c r="P437" s="18"/>
      <x:c r="Q437" s="18"/>
      <x:c r="R437" s="16"/>
      <x:c r="S437" s="16"/>
      <x:c r="T437" s="16"/>
    </x:row>
    <x:row r="438">
      <x:c r="A438" s="16" t="str">
        <x:v>上饶市</x:v>
      </x:c>
      <x:c r="B438" s="16" t="str">
        <x:v>德兴市</x:v>
      </x:c>
      <x:c r="C438" s="17" t="n">
        <x:v>2024</x:v>
      </x:c>
      <x:c r="D438" s="18"/>
      <x:c r="E438" s="18"/>
      <x:c r="F438" s="17"/>
      <x:c r="G438" s="18"/>
      <x:c r="H438" s="18"/>
      <x:c r="I438" s="18"/>
      <x:c r="J438" s="18"/>
      <x:c r="K438" s="18"/>
      <x:c r="L438" s="18"/>
      <x:c r="M438" s="18"/>
      <x:c r="N438" s="17"/>
      <x:c r="O438" s="18"/>
      <x:c r="P438" s="18"/>
      <x:c r="Q438" s="18"/>
      <x:c r="R438" s="16"/>
      <x:c r="S438" s="16"/>
      <x:c r="T438" s="16"/>
    </x:row>
    <x:row r="439">
      <x:c r="A439" s="16" t="str">
        <x:v>上饶市</x:v>
      </x:c>
      <x:c r="B439" s="16" t="str">
        <x:v>德兴市</x:v>
      </x:c>
      <x:c r="C439" s="17" t="n">
        <x:v>2025</x:v>
      </x:c>
      <x:c r="D439" s="18"/>
      <x:c r="E439" s="18"/>
      <x:c r="F439" s="17"/>
      <x:c r="G439" s="18"/>
      <x:c r="H439" s="18"/>
      <x:c r="I439" s="18"/>
      <x:c r="J439" s="18"/>
      <x:c r="K439" s="18"/>
      <x:c r="L439" s="18"/>
      <x:c r="M439" s="18"/>
      <x:c r="N439" s="17"/>
      <x:c r="O439" s="18"/>
      <x:c r="P439" s="18"/>
      <x:c r="Q439" s="18"/>
      <x:c r="R439" s="16"/>
      <x:c r="S439" s="16"/>
      <x:c r="T439" s="16"/>
    </x:row>
  </x:sheetData>
  <x:pageMargins left="0.7" right="0.7" top="0.75" bottom="0.75" header="0.3" footer="0.3"/>
  <x:tableParts count="1">
    <x:tablePart xmlns:r="http://schemas.openxmlformats.org/officeDocument/2006/relationships" r:id="R06f96ed8e6a446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18" hidden="0" customWidth="1"/>
    <x:col min="4" max="4" width="48" hidden="0" customWidth="1"/>
    <x:col min="5" max="5" width="16" hidden="0" customWidth="1"/>
    <x:col min="6" max="6" width="40" hidden="0" customWidth="1"/>
  </x:cols>
  <x:sheetData>
    <x:row r="1">
      <x:c r="A1" s="25" t="str">
        <x:v>江西73县县域经济体检评分模型（V1）</x:v>
      </x:c>
      <x:c r="B1" s="25"/>
      <x:c r="C1" s="25"/>
      <x:c r="D1" s="25"/>
      <x:c r="E1" s="25"/>
      <x:c r="F1" s="25"/>
    </x:row>
    <x:row r="3">
      <x:c r="A3" s="6" t="str">
        <x:v>指标</x:v>
      </x:c>
      <x:c r="B3" s="6" t="str">
        <x:v>含义</x:v>
      </x:c>
      <x:c r="C3" s="6" t="str">
        <x:v>0-100方向</x:v>
      </x:c>
      <x:c r="D3" s="6" t="str">
        <x:v>公式/阈值</x:v>
      </x:c>
      <x:c r="E3" s="6" t="str">
        <x:v>未来增长权重</x:v>
      </x:c>
      <x:c r="F3" s="6" t="str">
        <x:v>备注</x:v>
      </x:c>
    </x:row>
    <x:row r="4">
      <x:c r="A4" s="16" t="str">
        <x:v>人口衰退指数</x:v>
      </x:c>
      <x:c r="B4" s="16" t="str">
        <x:v>常住人口下降+出生下降</x:v>
      </x:c>
      <x:c r="C4" s="16" t="str">
        <x:v>高=差</x:v>
      </x:c>
      <x:c r="D4" s="16" t="str">
        <x:v>70%×人口下降惩罚+30%×出生下降惩罚；出生缺失则只用人口</x:v>
      </x:c>
      <x:c r="E4" s="16" t="str">
        <x:v>20%</x:v>
      </x:c>
      <x:c r="F4" s="16" t="str">
        <x:v>人口下降10%记满人口惩罚，出生下降50%记满出生惩罚</x:v>
      </x:c>
    </x:row>
    <x:row r="5">
      <x:c r="A5" s="16" t="str">
        <x:v>财政依赖指数</x:v>
      </x:c>
      <x:c r="B5" s="16" t="str">
        <x:v>支出对本级收入以外资金依赖</x:v>
      </x:c>
      <x:c r="C5" s="16" t="str">
        <x:v>高=差</x:v>
      </x:c>
      <x:c r="D5" s="16" t="str">
        <x:v>100×(1-一般预算收入/一般预算支出)，限制0-100</x:v>
      </x:c>
      <x:c r="E5" s="16" t="str">
        <x:v>20%</x:v>
      </x:c>
      <x:c r="F5" s="16" t="str">
        <x:v>财政自给率反向指标，不等同完整转移支付依赖率</x:v>
      </x:c>
    </x:row>
    <x:row r="6">
      <x:c r="A6" s="16" t="str">
        <x:v>产业集中度</x:v>
      </x:c>
      <x:c r="B6" s="16" t="str">
        <x:v>主导产业产值/规上工业营收</x:v>
      </x:c>
      <x:c r="C6" s="16" t="str">
        <x:v>高=集中</x:v>
      </x:c>
      <x:c r="D6" s="16" t="str">
        <x:v>100×主导产业产值/规上工业营收</x:v>
      </x:c>
      <x:c r="E6" s="16" t="str">
        <x:v>风险项</x:v>
      </x:c>
      <x:c r="F6" s="16" t="str">
        <x:v>缺失时另列研究估计，不冒充统计值</x:v>
      </x:c>
    </x:row>
    <x:row r="7">
      <x:c r="A7" s="16" t="str">
        <x:v>房地产依赖度</x:v>
      </x:c>
      <x:c r="B7" s="16" t="str">
        <x:v>商品房销售额/GDP</x:v>
      </x:c>
      <x:c r="C7" s="16" t="str">
        <x:v>高=依赖</x:v>
      </x:c>
      <x:c r="D7" s="16" t="str">
        <x:v>100×商品房销售额/GDP，限制0-100</x:v>
      </x:c>
      <x:c r="E7" s="16" t="str">
        <x:v>10%</x:v>
      </x:c>
      <x:c r="F7" s="16" t="str">
        <x:v>理想还应加入土地出让收入，但县级公开口径不稳定</x:v>
      </x:c>
    </x:row>
    <x:row r="8">
      <x:c r="A8" s="16" t="str">
        <x:v>GDP动能</x:v>
      </x:c>
      <x:c r="B8" s="16" t="str">
        <x:v>2020-2025 GDP CAGR</x:v>
      </x:c>
      <x:c r="C8" s="16" t="str">
        <x:v>高=好</x:v>
      </x:c>
      <x:c r="D8" s="16" t="str">
        <x:v>0%→20分；8%及以上→100分，中间线性</x:v>
      </x:c>
      <x:c r="E8" s="16" t="str">
        <x:v>25%</x:v>
      </x:c>
      <x:c r="F8" s="16" t="str">
        <x:v>只在首尾GDP均有可比数据时计算</x:v>
      </x:c>
    </x:row>
    <x:row r="9">
      <x:c r="A9" s="16" t="str">
        <x:v>工业基础</x:v>
      </x:c>
      <x:c r="B9" s="16" t="str">
        <x:v>产业生态研究评分</x:v>
      </x:c>
      <x:c r="C9" s="16" t="str">
        <x:v>高=好</x:v>
      </x:c>
      <x:c r="D9" s="16" t="str">
        <x:v>V1用产业等级映射</x:v>
      </x:c>
      <x:c r="E9" s="16" t="str">
        <x:v>15%</x:v>
      </x:c>
      <x:c r="F9" s="16" t="str">
        <x:v>V2应改为规上工业营收/GDP、制造业投资等</x:v>
      </x:c>
    </x:row>
    <x:row r="10">
      <x:c r="A10" s="16" t="str">
        <x:v>项目动能</x:v>
      </x:c>
      <x:c r="B10" s="16" t="str">
        <x:v>重大项目与区位承接能力</x:v>
      </x:c>
      <x:c r="C10" s="16" t="str">
        <x:v>高=好</x:v>
      </x:c>
      <x:c r="D10" s="16" t="str">
        <x:v>V1用研究评分近似</x:v>
      </x:c>
      <x:c r="E10" s="16" t="str">
        <x:v>10%</x:v>
      </x:c>
      <x:c r="F10" s="16" t="str">
        <x:v>后续逐县用重大项目投资额替换</x:v>
      </x:c>
    </x:row>
    <x:row r="12">
      <x:c r="A12" s="32" t="str">
        <x:v>核心原则：缺失值保持空白，不等于0；统计数据与研究判断分层展示。</x:v>
      </x:c>
      <x:c r="B12" s="32"/>
      <x:c r="C12" s="32"/>
      <x:c r="D12" s="32"/>
      <x:c r="E12" s="32"/>
      <x:c r="F12" s="32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10" hidden="0" customWidth="1"/>
    <x:col min="5" max="5" width="32" hidden="0" customWidth="1"/>
    <x:col min="6" max="6" width="40" hidden="0" customWidth="1"/>
  </x:cols>
  <x:sheetData>
    <x:row r="1">
      <x:c r="A1" s="25" t="str">
        <x:v>数据源、可信度与口径说明</x:v>
      </x:c>
      <x:c r="B1" s="25"/>
      <x:c r="C1" s="25"/>
      <x:c r="D1" s="25"/>
      <x:c r="E1" s="25"/>
      <x:c r="F1" s="25"/>
    </x:row>
    <x:row r="3">
      <x:c r="A3" s="6" t="str">
        <x:v>来源类别</x:v>
      </x:c>
      <x:c r="B3" s="6" t="str">
        <x:v>来源/名称</x:v>
      </x:c>
      <x:c r="C3" s="6" t="str">
        <x:v>URL</x:v>
      </x:c>
      <x:c r="D3" s="6" t="str">
        <x:v>等级</x:v>
      </x:c>
      <x:c r="E3" s="6" t="str">
        <x:v>可用于</x:v>
      </x:c>
      <x:c r="F3" s="6" t="str">
        <x:v>备注</x:v>
      </x:c>
    </x:row>
    <x:row r="4">
      <x:c r="A4" s="16" t="str">
        <x:v>官方统计</x:v>
      </x:c>
      <x:c r="B4" s="16" t="str">
        <x:v>江西统计年鉴2025</x:v>
      </x:c>
      <x:c r="C4" s="16" t="str">
        <x:v>https://tjj.jiangxi.gov.cn/col/col38622/index.html</x:v>
      </x:c>
      <x:c r="D4" s="16" t="str">
        <x:v>A</x:v>
      </x:c>
      <x:c r="E4" s="16" t="str">
        <x:v>2024县级GDP、财政收支等</x:v>
      </x:c>
      <x:c r="F4" s="16" t="str">
        <x:v>统一口径底座</x:v>
      </x:c>
    </x:row>
    <x:row r="5">
      <x:c r="A5" s="16" t="str">
        <x:v>官方统计</x:v>
      </x:c>
      <x:c r="B5" s="16" t="str">
        <x:v>中国县域统计年鉴2025</x:v>
      </x:c>
      <x:c r="C5" s="16" t="str">
        <x:v>https://www.stats.gov.cn/zs/tjwh/tjkw/tjzl/202506/t20250630_1960308.html</x:v>
      </x:c>
      <x:c r="D5" s="16" t="str">
        <x:v>A</x:v>
      </x:c>
      <x:c r="E5" s="16" t="str">
        <x:v>2024县级GDP、财政、存款、规上工业企业数等</x:v>
      </x:c>
      <x:c r="F5" s="16" t="str">
        <x:v>全县统一口径首选</x:v>
      </x:c>
    </x:row>
    <x:row r="6">
      <x:c r="A6" s="16" t="str">
        <x:v>官方统计</x:v>
      </x:c>
      <x:c r="B6" s="16" t="str">
        <x:v>赣州统计年鉴2024</x:v>
      </x:c>
      <x:c r="C6" s="16" t="str">
        <x:v>https://www.ganzhou.gov.cn/zfxxgk/c100445/202503/b0e046a63c8349efb70d4ae0d7ea98aa/files/6770a9762068466fa33e8ed6e25ecac7.pdf</x:v>
      </x:c>
      <x:c r="D6" s="16" t="str">
        <x:v>A</x:v>
      </x:c>
      <x:c r="E6" s="16" t="str">
        <x:v>赣州县级住户存款2016-2023等</x:v>
      </x:c>
      <x:c r="F6" s="16" t="str">
        <x:v>已录入2020-2023住户存款</x:v>
      </x:c>
    </x:row>
    <x:row r="7">
      <x:c r="A7" s="16" t="str">
        <x:v>官方统计</x:v>
      </x:c>
      <x:c r="B7" s="16" t="str">
        <x:v>南昌县2020统计公报</x:v>
      </x:c>
      <x:c r="C7" s="16" t="str">
        <x:v>https://ncx.nc.gov.cn/ncxrmzf/tjgb01h/202105/57e6d034bfe84471866df2be1fe5c053.shtml</x:v>
      </x:c>
      <x:c r="D7" s="16" t="str">
        <x:v>A</x:v>
      </x:c>
      <x:c r="E7" s="16" t="str">
        <x:v>GDP、财政、金融等</x:v>
      </x:c>
      <x:c r="F7" s="16" t="str">
        <x:v>已录入核心字段</x:v>
      </x:c>
    </x:row>
    <x:row r="8">
      <x:c r="A8" s="16" t="str">
        <x:v>官方统计</x:v>
      </x:c>
      <x:c r="B8" s="16" t="str">
        <x:v>南昌县2025统计公报</x:v>
      </x:c>
      <x:c r="C8" s="16" t="str">
        <x:v>https://ncx.nc.gov.cn/ncxrmzf/tjgb01h/202604/fd1aa6251dbf45ef8737d4553710064f.shtml</x:v>
      </x:c>
      <x:c r="D8" s="16" t="str">
        <x:v>A</x:v>
      </x:c>
      <x:c r="E8" s="16" t="str">
        <x:v>GDP、财政等</x:v>
      </x:c>
      <x:c r="F8" s="16" t="str">
        <x:v>已录入</x:v>
      </x:c>
    </x:row>
    <x:row r="9">
      <x:c r="A9" s="16" t="str">
        <x:v>官方统计</x:v>
      </x:c>
      <x:c r="B9" s="16" t="str">
        <x:v>信丰县2025统计公报</x:v>
      </x:c>
      <x:c r="C9" s="16" t="str">
        <x:v>https://www.jxxf.gov.cn/xfxxxgk/c101551/202603/90dbd56dc7604765bb1fc64655a6da3c.shtml</x:v>
      </x:c>
      <x:c r="D9" s="16" t="str">
        <x:v>A</x:v>
      </x:c>
      <x:c r="E9" s="16" t="str">
        <x:v>GDP、规上工业增速等</x:v>
      </x:c>
      <x:c r="F9" s="16" t="str">
        <x:v>已录入</x:v>
      </x:c>
    </x:row>
    <x:row r="10">
      <x:c r="A10" s="16" t="str">
        <x:v>官方/地方资料</x:v>
      </x:c>
      <x:c r="B10" s="16" t="str">
        <x:v>都昌县2020统计公报</x:v>
      </x:c>
      <x:c r="C10" s="16" t="str">
        <x:v>https://www.gcs66.com/document_detail/171450</x:v>
      </x:c>
      <x:c r="D10" s="16" t="str">
        <x:v>A</x:v>
      </x:c>
      <x:c r="E10" s="16" t="str">
        <x:v>人口、出生、财政、工业、存款、就业</x:v>
      </x:c>
      <x:c r="F10" s="16" t="str">
        <x:v>较完整的县级样本</x:v>
      </x:c>
    </x:row>
    <x:row r="11">
      <x:c r="A11" s="16" t="str">
        <x:v>二次汇总</x:v>
      </x:c>
      <x:c r="B11" s="16" t="str">
        <x:v>县域GDP历史/排行</x:v>
      </x:c>
      <x:c r="C11" s="16" t="str">
        <x:v>https://www.maigoo.com/news/684313.html</x:v>
      </x:c>
      <x:c r="D11" s="16" t="str">
        <x:v>B</x:v>
      </x:c>
      <x:c r="E11" s="16" t="str">
        <x:v>部分县GDP历史</x:v>
      </x:c>
      <x:c r="F11" s="16" t="str">
        <x:v>V1快速底座，后续应被官方年鉴替换</x:v>
      </x:c>
    </x:row>
    <x:row r="12">
      <x:c r="A12" s="16" t="str">
        <x:v>二次汇总</x:v>
      </x:c>
      <x:c r="B12" s="16" t="str">
        <x:v>九江2022县域GDP</x:v>
      </x:c>
      <x:c r="C12" s="16" t="str">
        <x:v>https://www.maigoo.com/news/672100.html</x:v>
      </x:c>
      <x:c r="D12" s="16" t="str">
        <x:v>B</x:v>
      </x:c>
      <x:c r="E12" s="16" t="str">
        <x:v>九江县域GDP</x:v>
      </x:c>
      <x:c r="F12" s="16" t="str">
        <x:v>来源标注官方数据</x:v>
      </x:c>
    </x:row>
    <x:row r="13">
      <x:c r="A13" s="16" t="str">
        <x:v>二次汇总</x:v>
      </x:c>
      <x:c r="B13" s="16" t="str">
        <x:v>吉安2022县域GDP</x:v>
      </x:c>
      <x:c r="C13" s="16" t="str">
        <x:v>https://www.maigoo.com/news/672853.html</x:v>
      </x:c>
      <x:c r="D13" s="16" t="str">
        <x:v>B</x:v>
      </x:c>
      <x:c r="E13" s="16" t="str">
        <x:v>吉安县域GDP</x:v>
      </x:c>
      <x:c r="F13" s="16" t="str">
        <x:v>来源标注官方数据</x:v>
      </x:c>
    </x:row>
    <x:row r="14">
      <x:c r="A14" s="16" t="str">
        <x:v>二次汇总</x:v>
      </x:c>
      <x:c r="B14" s="16" t="str">
        <x:v>宜春2023县域GDP</x:v>
      </x:c>
      <x:c r="C14" s="16" t="str">
        <x:v>https://www.maigoo.com/news/702753.html</x:v>
      </x:c>
      <x:c r="D14" s="16" t="str">
        <x:v>B</x:v>
      </x:c>
      <x:c r="E14" s="16" t="str">
        <x:v>宜春县域GDP</x:v>
      </x:c>
      <x:c r="F14" s="16" t="str">
        <x:v>来源标注官方数据</x:v>
      </x:c>
    </x:row>
    <x:row r="15">
      <x:c r="A15" s="16" t="str">
        <x:v>二次汇总</x:v>
      </x:c>
      <x:c r="B15" s="16" t="str">
        <x:v>赣州2023县域GDP</x:v>
      </x:c>
      <x:c r="C15" s="16" t="str">
        <x:v>https://www.maigoo.com/news/702860.html</x:v>
      </x:c>
      <x:c r="D15" s="16" t="str">
        <x:v>B</x:v>
      </x:c>
      <x:c r="E15" s="16" t="str">
        <x:v>赣州县域GDP</x:v>
      </x:c>
      <x:c r="F15" s="16" t="str">
        <x:v>来源标注官方数据</x:v>
      </x:c>
    </x:row>
    <x:row r="16">
      <x:c r="A16" s="16" t="str">
        <x:v>研究判断</x:v>
      </x:c>
      <x:c r="B16" s="16" t="str">
        <x:v>主导产业/类型/增长抓手</x:v>
      </x:c>
      <x:c r="C16" s="16" t="str">
        <x:v>本次调研综合</x:v>
      </x:c>
      <x:c r="D16" s="16" t="str">
        <x:v>R</x:v>
      </x:c>
      <x:c r="E16" s="16" t="str">
        <x:v>全部73县</x:v>
      </x:c>
      <x:c r="F16" s="16" t="str">
        <x:v>不是官方统计；与硬数据分层</x:v>
      </x:c>
    </x:row>
    <x:row r="20">
      <x:c r="A20" s="32" t="str">
        <x:v>重要：V1不会把缺失值填0。县级“出生人口、房地产销售、就业、主导产业产值”公开口径最不完整；未取得可比官方数据的单元格保持空白。数据版评分只在足够数据存在时计算。</x:v>
      </x:c>
      <x:c r="B20" s="32"/>
      <x:c r="C20" s="32"/>
      <x:c r="D20" s="32"/>
      <x:c r="E20" s="32"/>
      <x:c r="F20" s="32"/>
    </x:row>
    <x:row r="21">
      <x:c r="A21" s="32"/>
      <x:c r="B21" s="32"/>
      <x:c r="C21" s="32"/>
      <x:c r="D21" s="32"/>
      <x:c r="E21" s="32"/>
      <x:c r="F21" s="32"/>
    </x:row>
  </x:sheetData>
  <x:mergeCells>
    <x:mergeCell ref="A1:F1"/>
    <x:mergeCell ref="A20:F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38" hidden="0" customWidth="1"/>
  </x:cols>
  <x:sheetData>
    <x:row r="1">
      <x:c r="A1" s="6" t="str">
        <x:v>县/县级市</x:v>
      </x:c>
      <x:c r="B1" s="6" t="str">
        <x:v>地级市</x:v>
      </x:c>
      <x:c r="C1" s="6" t="str">
        <x:v>GDP2025</x:v>
      </x:c>
      <x:c r="D1" s="6" t="str">
        <x:v>人口2025</x:v>
      </x:c>
      <x:c r="E1" s="6" t="str">
        <x:v>出生2025</x:v>
      </x:c>
      <x:c r="F1" s="6" t="str">
        <x:v>财政收支2025</x:v>
      </x:c>
      <x:c r="G1" s="6" t="str">
        <x:v>地产销售2025</x:v>
      </x:c>
      <x:c r="H1" s="6" t="str">
        <x:v>下一步优先补数</x:v>
      </x:c>
    </x:row>
    <x:row r="2">
      <x:c r="A2" s="16" t="str">
        <x:v>南昌县</x:v>
      </x:c>
      <x:c r="B2" s="16" t="str">
        <x:v>南昌市</x:v>
      </x:c>
      <x:c r="C2" s="16" t="n">
        <x:f>'73县体检'!J2</x:f>
        <x:v>1461.21</x:v>
      </x:c>
      <x:c r="D2" s="16" t="str">
        <x:f>'73县体检'!M2</x:f>
      </x:c>
      <x:c r="E2" s="16" t="str">
        <x:f>'73县体检'!O2</x:f>
      </x:c>
      <x:c r="F2" s="16" t="str">
        <x:f>IF(AND('73县体检'!P2&lt;&gt;"",'73县体检'!Q2&lt;&gt;""),"已补","缺")</x:f>
        <x:v>缺</x:v>
      </x:c>
      <x:c r="G2" s="16" t="str">
        <x:f>IF('73县体检'!R2&lt;&gt;"","已补","缺")</x:f>
        <x:v>缺</x:v>
      </x:c>
      <x:c r="H2" s="16" t="str">
        <x:v>县统计公报/政府工作报告→统计年鉴→市级年鉴</x:v>
      </x:c>
    </x:row>
    <x:row r="3">
      <x:c r="A3" s="16" t="str">
        <x:v>安义县</x:v>
      </x:c>
      <x:c r="B3" s="16" t="str">
        <x:v>南昌市</x:v>
      </x:c>
      <x:c r="C3" s="16" t="str">
        <x:f>'73县体检'!J3</x:f>
      </x:c>
      <x:c r="D3" s="16" t="str">
        <x:f>'73县体检'!M3</x:f>
      </x:c>
      <x:c r="E3" s="16" t="str">
        <x:f>'73县体检'!O3</x:f>
      </x:c>
      <x:c r="F3" s="16" t="str">
        <x:f>IF(AND('73县体检'!P3&lt;&gt;"",'73县体检'!Q3&lt;&gt;""),"已补","缺")</x:f>
        <x:v>缺</x:v>
      </x:c>
      <x:c r="G3" s="16" t="str">
        <x:f>IF('73县体检'!R3&lt;&gt;"","已补","缺")</x:f>
        <x:v>缺</x:v>
      </x:c>
      <x:c r="H3" s="16" t="str">
        <x:v>县统计公报/政府工作报告→统计年鉴→市级年鉴</x:v>
      </x:c>
    </x:row>
    <x:row r="4">
      <x:c r="A4" s="16" t="str">
        <x:v>进贤县</x:v>
      </x:c>
      <x:c r="B4" s="16" t="str">
        <x:v>南昌市</x:v>
      </x:c>
      <x:c r="C4" s="16" t="str">
        <x:f>'73县体检'!J4</x:f>
      </x:c>
      <x:c r="D4" s="16" t="str">
        <x:f>'73县体检'!M4</x:f>
      </x:c>
      <x:c r="E4" s="16" t="str">
        <x:f>'73县体检'!O4</x:f>
      </x:c>
      <x:c r="F4" s="16" t="str">
        <x:f>IF(AND('73县体检'!P4&lt;&gt;"",'73县体检'!Q4&lt;&gt;""),"已补","缺")</x:f>
        <x:v>缺</x:v>
      </x:c>
      <x:c r="G4" s="16" t="str">
        <x:f>IF('73县体检'!R4&lt;&gt;"","已补","缺")</x:f>
        <x:v>缺</x:v>
      </x:c>
      <x:c r="H4" s="16" t="str">
        <x:v>县统计公报/政府工作报告→统计年鉴→市级年鉴</x:v>
      </x:c>
    </x:row>
    <x:row r="5">
      <x:c r="A5" s="16" t="str">
        <x:v>浮梁县</x:v>
      </x:c>
      <x:c r="B5" s="16" t="str">
        <x:v>景德镇市</x:v>
      </x:c>
      <x:c r="C5" s="16" t="str">
        <x:f>'73县体检'!J5</x:f>
      </x:c>
      <x:c r="D5" s="16" t="str">
        <x:f>'73县体检'!M5</x:f>
      </x:c>
      <x:c r="E5" s="16" t="str">
        <x:f>'73县体检'!O5</x:f>
      </x:c>
      <x:c r="F5" s="16" t="str">
        <x:f>IF(AND('73县体检'!P5&lt;&gt;"",'73县体检'!Q5&lt;&gt;""),"已补","缺")</x:f>
        <x:v>缺</x:v>
      </x:c>
      <x:c r="G5" s="16" t="str">
        <x:f>IF('73县体检'!R5&lt;&gt;"","已补","缺")</x:f>
        <x:v>缺</x:v>
      </x:c>
      <x:c r="H5" s="16" t="str">
        <x:v>县统计公报/政府工作报告→统计年鉴→市级年鉴</x:v>
      </x:c>
    </x:row>
    <x:row r="6">
      <x:c r="A6" s="16" t="str">
        <x:v>乐平市</x:v>
      </x:c>
      <x:c r="B6" s="16" t="str">
        <x:v>景德镇市</x:v>
      </x:c>
      <x:c r="C6" s="16" t="str">
        <x:f>'73县体检'!J6</x:f>
      </x:c>
      <x:c r="D6" s="16" t="str">
        <x:f>'73县体检'!M6</x:f>
      </x:c>
      <x:c r="E6" s="16" t="str">
        <x:f>'73县体检'!O6</x:f>
      </x:c>
      <x:c r="F6" s="16" t="str">
        <x:f>IF(AND('73县体检'!P6&lt;&gt;"",'73县体检'!Q6&lt;&gt;""),"已补","缺")</x:f>
        <x:v>缺</x:v>
      </x:c>
      <x:c r="G6" s="16" t="str">
        <x:f>IF('73县体检'!R6&lt;&gt;"","已补","缺")</x:f>
        <x:v>缺</x:v>
      </x:c>
      <x:c r="H6" s="16" t="str">
        <x:v>县统计公报/政府工作报告→统计年鉴→市级年鉴</x:v>
      </x:c>
    </x:row>
    <x:row r="7">
      <x:c r="A7" s="16" t="str">
        <x:v>莲花县</x:v>
      </x:c>
      <x:c r="B7" s="16" t="str">
        <x:v>萍乡市</x:v>
      </x:c>
      <x:c r="C7" s="16" t="str">
        <x:f>'73县体检'!J7</x:f>
      </x:c>
      <x:c r="D7" s="16" t="str">
        <x:f>'73县体检'!M7</x:f>
      </x:c>
      <x:c r="E7" s="16" t="str">
        <x:f>'73县体检'!O7</x:f>
      </x:c>
      <x:c r="F7" s="16" t="str">
        <x:f>IF(AND('73县体检'!P7&lt;&gt;"",'73县体检'!Q7&lt;&gt;""),"已补","缺")</x:f>
        <x:v>缺</x:v>
      </x:c>
      <x:c r="G7" s="16" t="str">
        <x:f>IF('73县体检'!R7&lt;&gt;"","已补","缺")</x:f>
        <x:v>缺</x:v>
      </x:c>
      <x:c r="H7" s="16" t="str">
        <x:v>县统计公报/政府工作报告→统计年鉴→市级年鉴</x:v>
      </x:c>
    </x:row>
    <x:row r="8">
      <x:c r="A8" s="16" t="str">
        <x:v>上栗县</x:v>
      </x:c>
      <x:c r="B8" s="16" t="str">
        <x:v>萍乡市</x:v>
      </x:c>
      <x:c r="C8" s="16" t="str">
        <x:f>'73县体检'!J8</x:f>
      </x:c>
      <x:c r="D8" s="16" t="str">
        <x:f>'73县体检'!M8</x:f>
      </x:c>
      <x:c r="E8" s="16" t="str">
        <x:f>'73县体检'!O8</x:f>
      </x:c>
      <x:c r="F8" s="16" t="str">
        <x:f>IF(AND('73县体检'!P8&lt;&gt;"",'73县体检'!Q8&lt;&gt;""),"已补","缺")</x:f>
        <x:v>缺</x:v>
      </x:c>
      <x:c r="G8" s="16" t="str">
        <x:f>IF('73县体检'!R8&lt;&gt;"","已补","缺")</x:f>
        <x:v>缺</x:v>
      </x:c>
      <x:c r="H8" s="16" t="str">
        <x:v>县统计公报/政府工作报告→统计年鉴→市级年鉴</x:v>
      </x:c>
    </x:row>
    <x:row r="9">
      <x:c r="A9" s="16" t="str">
        <x:v>芦溪县</x:v>
      </x:c>
      <x:c r="B9" s="16" t="str">
        <x:v>萍乡市</x:v>
      </x:c>
      <x:c r="C9" s="16" t="str">
        <x:f>'73县体检'!J9</x:f>
      </x:c>
      <x:c r="D9" s="16" t="str">
        <x:f>'73县体检'!M9</x:f>
      </x:c>
      <x:c r="E9" s="16" t="str">
        <x:f>'73县体检'!O9</x:f>
      </x:c>
      <x:c r="F9" s="16" t="str">
        <x:f>IF(AND('73县体检'!P9&lt;&gt;"",'73县体检'!Q9&lt;&gt;""),"已补","缺")</x:f>
        <x:v>缺</x:v>
      </x:c>
      <x:c r="G9" s="16" t="str">
        <x:f>IF('73县体检'!R9&lt;&gt;"","已补","缺")</x:f>
        <x:v>缺</x:v>
      </x:c>
      <x:c r="H9" s="16" t="str">
        <x:v>县统计公报/政府工作报告→统计年鉴→市级年鉴</x:v>
      </x:c>
    </x:row>
    <x:row r="10">
      <x:c r="A10" s="16" t="str">
        <x:v>武宁县</x:v>
      </x:c>
      <x:c r="B10" s="16" t="str">
        <x:v>九江市</x:v>
      </x:c>
      <x:c r="C10" s="16" t="str">
        <x:f>'73县体检'!J10</x:f>
      </x:c>
      <x:c r="D10" s="16" t="str">
        <x:f>'73县体检'!M10</x:f>
      </x:c>
      <x:c r="E10" s="16" t="str">
        <x:f>'73县体检'!O10</x:f>
      </x:c>
      <x:c r="F10" s="16" t="str">
        <x:f>IF(AND('73县体检'!P10&lt;&gt;"",'73县体检'!Q10&lt;&gt;""),"已补","缺")</x:f>
        <x:v>缺</x:v>
      </x:c>
      <x:c r="G10" s="16" t="str">
        <x:f>IF('73县体检'!R10&lt;&gt;"","已补","缺")</x:f>
        <x:v>缺</x:v>
      </x:c>
      <x:c r="H10" s="16" t="str">
        <x:v>县统计公报/政府工作报告→统计年鉴→市级年鉴</x:v>
      </x:c>
    </x:row>
    <x:row r="11">
      <x:c r="A11" s="16" t="str">
        <x:v>修水县</x:v>
      </x:c>
      <x:c r="B11" s="16" t="str">
        <x:v>九江市</x:v>
      </x:c>
      <x:c r="C11" s="16" t="str">
        <x:f>'73县体检'!J11</x:f>
      </x:c>
      <x:c r="D11" s="16" t="str">
        <x:f>'73县体检'!M11</x:f>
      </x:c>
      <x:c r="E11" s="16" t="str">
        <x:f>'73县体检'!O11</x:f>
      </x:c>
      <x:c r="F11" s="16" t="str">
        <x:f>IF(AND('73县体检'!P11&lt;&gt;"",'73县体检'!Q11&lt;&gt;""),"已补","缺")</x:f>
        <x:v>缺</x:v>
      </x:c>
      <x:c r="G11" s="16" t="str">
        <x:f>IF('73县体检'!R11&lt;&gt;"","已补","缺")</x:f>
        <x:v>缺</x:v>
      </x:c>
      <x:c r="H11" s="16" t="str">
        <x:v>县统计公报/政府工作报告→统计年鉴→市级年鉴</x:v>
      </x:c>
    </x:row>
    <x:row r="12">
      <x:c r="A12" s="16" t="str">
        <x:v>永修县</x:v>
      </x:c>
      <x:c r="B12" s="16" t="str">
        <x:v>九江市</x:v>
      </x:c>
      <x:c r="C12" s="16" t="str">
        <x:f>'73县体检'!J12</x:f>
      </x:c>
      <x:c r="D12" s="16" t="str">
        <x:f>'73县体检'!M12</x:f>
      </x:c>
      <x:c r="E12" s="16" t="str">
        <x:f>'73县体检'!O12</x:f>
      </x:c>
      <x:c r="F12" s="16" t="str">
        <x:f>IF(AND('73县体检'!P12&lt;&gt;"",'73县体检'!Q12&lt;&gt;""),"已补","缺")</x:f>
        <x:v>缺</x:v>
      </x:c>
      <x:c r="G12" s="16" t="str">
        <x:f>IF('73县体检'!R12&lt;&gt;"","已补","缺")</x:f>
        <x:v>缺</x:v>
      </x:c>
      <x:c r="H12" s="16" t="str">
        <x:v>县统计公报/政府工作报告→统计年鉴→市级年鉴</x:v>
      </x:c>
    </x:row>
    <x:row r="13">
      <x:c r="A13" s="16" t="str">
        <x:v>德安县</x:v>
      </x:c>
      <x:c r="B13" s="16" t="str">
        <x:v>九江市</x:v>
      </x:c>
      <x:c r="C13" s="16" t="str">
        <x:f>'73县体检'!J13</x:f>
      </x:c>
      <x:c r="D13" s="16" t="str">
        <x:f>'73县体检'!M13</x:f>
      </x:c>
      <x:c r="E13" s="16" t="str">
        <x:f>'73县体检'!O13</x:f>
      </x:c>
      <x:c r="F13" s="16" t="str">
        <x:f>IF(AND('73县体检'!P13&lt;&gt;"",'73县体检'!Q13&lt;&gt;""),"已补","缺")</x:f>
        <x:v>缺</x:v>
      </x:c>
      <x:c r="G13" s="16" t="str">
        <x:f>IF('73县体检'!R13&lt;&gt;"","已补","缺")</x:f>
        <x:v>缺</x:v>
      </x:c>
      <x:c r="H13" s="16" t="str">
        <x:v>县统计公报/政府工作报告→统计年鉴→市级年鉴</x:v>
      </x:c>
    </x:row>
    <x:row r="14">
      <x:c r="A14" s="16" t="str">
        <x:v>都昌县</x:v>
      </x:c>
      <x:c r="B14" s="16" t="str">
        <x:v>九江市</x:v>
      </x:c>
      <x:c r="C14" s="16" t="str">
        <x:f>'73县体检'!J14</x:f>
      </x:c>
      <x:c r="D14" s="16" t="str">
        <x:f>'73县体检'!M14</x:f>
      </x:c>
      <x:c r="E14" s="16" t="str">
        <x:f>'73县体检'!O14</x:f>
      </x:c>
      <x:c r="F14" s="16" t="str">
        <x:f>IF(AND('73县体检'!P14&lt;&gt;"",'73县体检'!Q14&lt;&gt;""),"已补","缺")</x:f>
        <x:v>缺</x:v>
      </x:c>
      <x:c r="G14" s="16" t="str">
        <x:f>IF('73县体检'!R14&lt;&gt;"","已补","缺")</x:f>
        <x:v>缺</x:v>
      </x:c>
      <x:c r="H14" s="16" t="str">
        <x:v>县统计公报/政府工作报告→统计年鉴→市级年鉴</x:v>
      </x:c>
    </x:row>
    <x:row r="15">
      <x:c r="A15" s="16" t="str">
        <x:v>湖口县</x:v>
      </x:c>
      <x:c r="B15" s="16" t="str">
        <x:v>九江市</x:v>
      </x:c>
      <x:c r="C15" s="16" t="str">
        <x:f>'73县体检'!J15</x:f>
      </x:c>
      <x:c r="D15" s="16" t="str">
        <x:f>'73县体检'!M15</x:f>
      </x:c>
      <x:c r="E15" s="16" t="str">
        <x:f>'73县体检'!O15</x:f>
      </x:c>
      <x:c r="F15" s="16" t="str">
        <x:f>IF(AND('73县体检'!P15&lt;&gt;"",'73县体检'!Q15&lt;&gt;""),"已补","缺")</x:f>
        <x:v>缺</x:v>
      </x:c>
      <x:c r="G15" s="16" t="str">
        <x:f>IF('73县体检'!R15&lt;&gt;"","已补","缺")</x:f>
        <x:v>缺</x:v>
      </x:c>
      <x:c r="H15" s="16" t="str">
        <x:v>县统计公报/政府工作报告→统计年鉴→市级年鉴</x:v>
      </x:c>
    </x:row>
    <x:row r="16">
      <x:c r="A16" s="16" t="str">
        <x:v>彭泽县</x:v>
      </x:c>
      <x:c r="B16" s="16" t="str">
        <x:v>九江市</x:v>
      </x:c>
      <x:c r="C16" s="16" t="str">
        <x:f>'73县体检'!J16</x:f>
      </x:c>
      <x:c r="D16" s="16" t="str">
        <x:f>'73县体检'!M16</x:f>
      </x:c>
      <x:c r="E16" s="16" t="str">
        <x:f>'73县体检'!O16</x:f>
      </x:c>
      <x:c r="F16" s="16" t="str">
        <x:f>IF(AND('73县体检'!P16&lt;&gt;"",'73县体检'!Q16&lt;&gt;""),"已补","缺")</x:f>
        <x:v>缺</x:v>
      </x:c>
      <x:c r="G16" s="16" t="str">
        <x:f>IF('73县体检'!R16&lt;&gt;"","已补","缺")</x:f>
        <x:v>缺</x:v>
      </x:c>
      <x:c r="H16" s="16" t="str">
        <x:v>县统计公报/政府工作报告→统计年鉴→市级年鉴</x:v>
      </x:c>
    </x:row>
    <x:row r="17">
      <x:c r="A17" s="16" t="str">
        <x:v>瑞昌市</x:v>
      </x:c>
      <x:c r="B17" s="16" t="str">
        <x:v>九江市</x:v>
      </x:c>
      <x:c r="C17" s="16" t="str">
        <x:f>'73县体检'!J17</x:f>
      </x:c>
      <x:c r="D17" s="16" t="str">
        <x:f>'73县体检'!M17</x:f>
      </x:c>
      <x:c r="E17" s="16" t="str">
        <x:f>'73县体检'!O17</x:f>
      </x:c>
      <x:c r="F17" s="16" t="str">
        <x:f>IF(AND('73县体检'!P17&lt;&gt;"",'73县体检'!Q17&lt;&gt;""),"已补","缺")</x:f>
        <x:v>缺</x:v>
      </x:c>
      <x:c r="G17" s="16" t="str">
        <x:f>IF('73县体检'!R17&lt;&gt;"","已补","缺")</x:f>
        <x:v>缺</x:v>
      </x:c>
      <x:c r="H17" s="16" t="str">
        <x:v>县统计公报/政府工作报告→统计年鉴→市级年鉴</x:v>
      </x:c>
    </x:row>
    <x:row r="18">
      <x:c r="A18" s="16" t="str">
        <x:v>共青城市</x:v>
      </x:c>
      <x:c r="B18" s="16" t="str">
        <x:v>九江市</x:v>
      </x:c>
      <x:c r="C18" s="16" t="str">
        <x:f>'73县体检'!J18</x:f>
      </x:c>
      <x:c r="D18" s="16" t="str">
        <x:f>'73县体检'!M18</x:f>
      </x:c>
      <x:c r="E18" s="16" t="str">
        <x:f>'73县体检'!O18</x:f>
      </x:c>
      <x:c r="F18" s="16" t="str">
        <x:f>IF(AND('73县体检'!P18&lt;&gt;"",'73县体检'!Q18&lt;&gt;""),"已补","缺")</x:f>
        <x:v>缺</x:v>
      </x:c>
      <x:c r="G18" s="16" t="str">
        <x:f>IF('73县体检'!R18&lt;&gt;"","已补","缺")</x:f>
        <x:v>缺</x:v>
      </x:c>
      <x:c r="H18" s="16" t="str">
        <x:v>县统计公报/政府工作报告→统计年鉴→市级年鉴</x:v>
      </x:c>
    </x:row>
    <x:row r="19">
      <x:c r="A19" s="16" t="str">
        <x:v>庐山市</x:v>
      </x:c>
      <x:c r="B19" s="16" t="str">
        <x:v>九江市</x:v>
      </x:c>
      <x:c r="C19" s="16" t="str">
        <x:f>'73县体检'!J19</x:f>
      </x:c>
      <x:c r="D19" s="16" t="str">
        <x:f>'73县体检'!M19</x:f>
      </x:c>
      <x:c r="E19" s="16" t="str">
        <x:f>'73县体检'!O19</x:f>
      </x:c>
      <x:c r="F19" s="16" t="str">
        <x:f>IF(AND('73县体检'!P19&lt;&gt;"",'73县体检'!Q19&lt;&gt;""),"已补","缺")</x:f>
        <x:v>缺</x:v>
      </x:c>
      <x:c r="G19" s="16" t="str">
        <x:f>IF('73县体检'!R19&lt;&gt;"","已补","缺")</x:f>
        <x:v>缺</x:v>
      </x:c>
      <x:c r="H19" s="16" t="str">
        <x:v>县统计公报/政府工作报告→统计年鉴→市级年鉴</x:v>
      </x:c>
    </x:row>
    <x:row r="20">
      <x:c r="A20" s="16" t="str">
        <x:v>分宜县</x:v>
      </x:c>
      <x:c r="B20" s="16" t="str">
        <x:v>新余市</x:v>
      </x:c>
      <x:c r="C20" s="16" t="str">
        <x:f>'73县体检'!J20</x:f>
      </x:c>
      <x:c r="D20" s="16" t="str">
        <x:f>'73县体检'!M20</x:f>
      </x:c>
      <x:c r="E20" s="16" t="str">
        <x:f>'73县体检'!O20</x:f>
      </x:c>
      <x:c r="F20" s="16" t="str">
        <x:f>IF(AND('73县体检'!P20&lt;&gt;"",'73县体检'!Q20&lt;&gt;""),"已补","缺")</x:f>
        <x:v>缺</x:v>
      </x:c>
      <x:c r="G20" s="16" t="str">
        <x:f>IF('73县体检'!R20&lt;&gt;"","已补","缺")</x:f>
        <x:v>缺</x:v>
      </x:c>
      <x:c r="H20" s="16" t="str">
        <x:v>县统计公报/政府工作报告→统计年鉴→市级年鉴</x:v>
      </x:c>
    </x:row>
    <x:row r="21">
      <x:c r="A21" s="16" t="str">
        <x:v>贵溪市</x:v>
      </x:c>
      <x:c r="B21" s="16" t="str">
        <x:v>鹰潭市</x:v>
      </x:c>
      <x:c r="C21" s="16" t="str">
        <x:f>'73县体检'!J21</x:f>
      </x:c>
      <x:c r="D21" s="16" t="str">
        <x:f>'73县体检'!M21</x:f>
      </x:c>
      <x:c r="E21" s="16" t="str">
        <x:f>'73县体检'!O21</x:f>
      </x:c>
      <x:c r="F21" s="16" t="str">
        <x:f>IF(AND('73县体检'!P21&lt;&gt;"",'73县体检'!Q21&lt;&gt;""),"已补","缺")</x:f>
        <x:v>缺</x:v>
      </x:c>
      <x:c r="G21" s="16" t="str">
        <x:f>IF('73县体检'!R21&lt;&gt;"","已补","缺")</x:f>
        <x:v>缺</x:v>
      </x:c>
      <x:c r="H21" s="16" t="str">
        <x:v>县统计公报/政府工作报告→统计年鉴→市级年鉴</x:v>
      </x:c>
    </x:row>
    <x:row r="22">
      <x:c r="A22" s="16" t="str">
        <x:v>大余县</x:v>
      </x:c>
      <x:c r="B22" s="16" t="str">
        <x:v>赣州市</x:v>
      </x:c>
      <x:c r="C22" s="16" t="str">
        <x:f>'73县体检'!J22</x:f>
      </x:c>
      <x:c r="D22" s="16" t="str">
        <x:f>'73县体检'!M22</x:f>
      </x:c>
      <x:c r="E22" s="16" t="str">
        <x:f>'73县体检'!O22</x:f>
      </x:c>
      <x:c r="F22" s="16" t="str">
        <x:f>IF(AND('73县体检'!P22&lt;&gt;"",'73县体检'!Q22&lt;&gt;""),"已补","缺")</x:f>
        <x:v>缺</x:v>
      </x:c>
      <x:c r="G22" s="16" t="str">
        <x:f>IF('73县体检'!R22&lt;&gt;"","已补","缺")</x:f>
        <x:v>缺</x:v>
      </x:c>
      <x:c r="H22" s="16" t="str">
        <x:v>县统计公报/政府工作报告→统计年鉴→市级年鉴</x:v>
      </x:c>
    </x:row>
    <x:row r="23">
      <x:c r="A23" s="16" t="str">
        <x:v>上犹县</x:v>
      </x:c>
      <x:c r="B23" s="16" t="str">
        <x:v>赣州市</x:v>
      </x:c>
      <x:c r="C23" s="16" t="str">
        <x:f>'73县体检'!J23</x:f>
      </x:c>
      <x:c r="D23" s="16" t="str">
        <x:f>'73县体检'!M23</x:f>
      </x:c>
      <x:c r="E23" s="16" t="str">
        <x:f>'73县体检'!O23</x:f>
      </x:c>
      <x:c r="F23" s="16" t="str">
        <x:f>IF(AND('73县体检'!P23&lt;&gt;"",'73县体检'!Q23&lt;&gt;""),"已补","缺")</x:f>
        <x:v>缺</x:v>
      </x:c>
      <x:c r="G23" s="16" t="str">
        <x:f>IF('73县体检'!R23&lt;&gt;"","已补","缺")</x:f>
        <x:v>缺</x:v>
      </x:c>
      <x:c r="H23" s="16" t="str">
        <x:v>县统计公报/政府工作报告→统计年鉴→市级年鉴</x:v>
      </x:c>
    </x:row>
    <x:row r="24">
      <x:c r="A24" s="16" t="str">
        <x:v>崇义县</x:v>
      </x:c>
      <x:c r="B24" s="16" t="str">
        <x:v>赣州市</x:v>
      </x:c>
      <x:c r="C24" s="16" t="str">
        <x:f>'73县体检'!J24</x:f>
      </x:c>
      <x:c r="D24" s="16" t="str">
        <x:f>'73县体检'!M24</x:f>
      </x:c>
      <x:c r="E24" s="16" t="str">
        <x:f>'73县体检'!O24</x:f>
      </x:c>
      <x:c r="F24" s="16" t="str">
        <x:f>IF(AND('73县体检'!P24&lt;&gt;"",'73县体检'!Q24&lt;&gt;""),"已补","缺")</x:f>
        <x:v>缺</x:v>
      </x:c>
      <x:c r="G24" s="16" t="str">
        <x:f>IF('73县体检'!R24&lt;&gt;"","已补","缺")</x:f>
        <x:v>缺</x:v>
      </x:c>
      <x:c r="H24" s="16" t="str">
        <x:v>县统计公报/政府工作报告→统计年鉴→市级年鉴</x:v>
      </x:c>
    </x:row>
    <x:row r="25">
      <x:c r="A25" s="16" t="str">
        <x:v>信丰县</x:v>
      </x:c>
      <x:c r="B25" s="16" t="str">
        <x:v>赣州市</x:v>
      </x:c>
      <x:c r="C25" s="16" t="n">
        <x:f>'73县体检'!J25</x:f>
        <x:v>341</x:v>
      </x:c>
      <x:c r="D25" s="16" t="str">
        <x:f>'73县体检'!M25</x:f>
      </x:c>
      <x:c r="E25" s="16" t="str">
        <x:f>'73县体检'!O25</x:f>
      </x:c>
      <x:c r="F25" s="16" t="str">
        <x:f>IF(AND('73县体检'!P25&lt;&gt;"",'73县体检'!Q25&lt;&gt;""),"已补","缺")</x:f>
        <x:v>缺</x:v>
      </x:c>
      <x:c r="G25" s="16" t="str">
        <x:f>IF('73县体检'!R25&lt;&gt;"","已补","缺")</x:f>
        <x:v>缺</x:v>
      </x:c>
      <x:c r="H25" s="16" t="str">
        <x:v>县统计公报/政府工作报告→统计年鉴→市级年鉴</x:v>
      </x:c>
    </x:row>
    <x:row r="26">
      <x:c r="A26" s="16" t="str">
        <x:v>定南县</x:v>
      </x:c>
      <x:c r="B26" s="16" t="str">
        <x:v>赣州市</x:v>
      </x:c>
      <x:c r="C26" s="16" t="str">
        <x:f>'73县体检'!J26</x:f>
      </x:c>
      <x:c r="D26" s="16" t="str">
        <x:f>'73县体检'!M26</x:f>
      </x:c>
      <x:c r="E26" s="16" t="str">
        <x:f>'73县体检'!O26</x:f>
      </x:c>
      <x:c r="F26" s="16" t="str">
        <x:f>IF(AND('73县体检'!P26&lt;&gt;"",'73县体检'!Q26&lt;&gt;""),"已补","缺")</x:f>
        <x:v>缺</x:v>
      </x:c>
      <x:c r="G26" s="16" t="str">
        <x:f>IF('73县体检'!R26&lt;&gt;"","已补","缺")</x:f>
        <x:v>缺</x:v>
      </x:c>
      <x:c r="H26" s="16" t="str">
        <x:v>县统计公报/政府工作报告→统计年鉴→市级年鉴</x:v>
      </x:c>
    </x:row>
    <x:row r="27">
      <x:c r="A27" s="16" t="str">
        <x:v>全南县</x:v>
      </x:c>
      <x:c r="B27" s="16" t="str">
        <x:v>赣州市</x:v>
      </x:c>
      <x:c r="C27" s="16" t="str">
        <x:f>'73县体检'!J27</x:f>
      </x:c>
      <x:c r="D27" s="16" t="str">
        <x:f>'73县体检'!M27</x:f>
      </x:c>
      <x:c r="E27" s="16" t="str">
        <x:f>'73县体检'!O27</x:f>
      </x:c>
      <x:c r="F27" s="16" t="str">
        <x:f>IF(AND('73县体检'!P27&lt;&gt;"",'73县体检'!Q27&lt;&gt;""),"已补","缺")</x:f>
        <x:v>缺</x:v>
      </x:c>
      <x:c r="G27" s="16" t="str">
        <x:f>IF('73县体检'!R27&lt;&gt;"","已补","缺")</x:f>
        <x:v>缺</x:v>
      </x:c>
      <x:c r="H27" s="16" t="str">
        <x:v>县统计公报/政府工作报告→统计年鉴→市级年鉴</x:v>
      </x:c>
    </x:row>
    <x:row r="28">
      <x:c r="A28" s="16" t="str">
        <x:v>安远县</x:v>
      </x:c>
      <x:c r="B28" s="16" t="str">
        <x:v>赣州市</x:v>
      </x:c>
      <x:c r="C28" s="16" t="str">
        <x:f>'73县体检'!J28</x:f>
      </x:c>
      <x:c r="D28" s="16" t="str">
        <x:f>'73县体检'!M28</x:f>
      </x:c>
      <x:c r="E28" s="16" t="str">
        <x:f>'73县体检'!O28</x:f>
      </x:c>
      <x:c r="F28" s="16" t="str">
        <x:f>IF(AND('73县体检'!P28&lt;&gt;"",'73县体检'!Q28&lt;&gt;""),"已补","缺")</x:f>
        <x:v>缺</x:v>
      </x:c>
      <x:c r="G28" s="16" t="str">
        <x:f>IF('73县体检'!R28&lt;&gt;"","已补","缺")</x:f>
        <x:v>缺</x:v>
      </x:c>
      <x:c r="H28" s="16" t="str">
        <x:v>县统计公报/政府工作报告→统计年鉴→市级年鉴</x:v>
      </x:c>
    </x:row>
    <x:row r="29">
      <x:c r="A29" s="16" t="str">
        <x:v>宁都县</x:v>
      </x:c>
      <x:c r="B29" s="16" t="str">
        <x:v>赣州市</x:v>
      </x:c>
      <x:c r="C29" s="16" t="str">
        <x:f>'73县体检'!J29</x:f>
      </x:c>
      <x:c r="D29" s="16" t="str">
        <x:f>'73县体检'!M29</x:f>
      </x:c>
      <x:c r="E29" s="16" t="str">
        <x:f>'73县体检'!O29</x:f>
      </x:c>
      <x:c r="F29" s="16" t="str">
        <x:f>IF(AND('73县体检'!P29&lt;&gt;"",'73县体检'!Q29&lt;&gt;""),"已补","缺")</x:f>
        <x:v>缺</x:v>
      </x:c>
      <x:c r="G29" s="16" t="str">
        <x:f>IF('73县体检'!R29&lt;&gt;"","已补","缺")</x:f>
        <x:v>缺</x:v>
      </x:c>
      <x:c r="H29" s="16" t="str">
        <x:v>县统计公报/政府工作报告→统计年鉴→市级年鉴</x:v>
      </x:c>
    </x:row>
    <x:row r="30">
      <x:c r="A30" s="16" t="str">
        <x:v>于都县</x:v>
      </x:c>
      <x:c r="B30" s="16" t="str">
        <x:v>赣州市</x:v>
      </x:c>
      <x:c r="C30" s="16" t="str">
        <x:f>'73县体检'!J30</x:f>
      </x:c>
      <x:c r="D30" s="16" t="str">
        <x:f>'73县体检'!M30</x:f>
      </x:c>
      <x:c r="E30" s="16" t="str">
        <x:f>'73县体检'!O30</x:f>
      </x:c>
      <x:c r="F30" s="16" t="str">
        <x:f>IF(AND('73县体检'!P30&lt;&gt;"",'73县体检'!Q30&lt;&gt;""),"已补","缺")</x:f>
        <x:v>缺</x:v>
      </x:c>
      <x:c r="G30" s="16" t="str">
        <x:f>IF('73县体检'!R30&lt;&gt;"","已补","缺")</x:f>
        <x:v>缺</x:v>
      </x:c>
      <x:c r="H30" s="16" t="str">
        <x:v>县统计公报/政府工作报告→统计年鉴→市级年鉴</x:v>
      </x:c>
    </x:row>
    <x:row r="31">
      <x:c r="A31" s="16" t="str">
        <x:v>兴国县</x:v>
      </x:c>
      <x:c r="B31" s="16" t="str">
        <x:v>赣州市</x:v>
      </x:c>
      <x:c r="C31" s="16" t="str">
        <x:f>'73县体检'!J31</x:f>
      </x:c>
      <x:c r="D31" s="16" t="str">
        <x:f>'73县体检'!M31</x:f>
      </x:c>
      <x:c r="E31" s="16" t="str">
        <x:f>'73县体检'!O31</x:f>
      </x:c>
      <x:c r="F31" s="16" t="str">
        <x:f>IF(AND('73县体检'!P31&lt;&gt;"",'73县体检'!Q31&lt;&gt;""),"已补","缺")</x:f>
        <x:v>缺</x:v>
      </x:c>
      <x:c r="G31" s="16" t="str">
        <x:f>IF('73县体检'!R31&lt;&gt;"","已补","缺")</x:f>
        <x:v>缺</x:v>
      </x:c>
      <x:c r="H31" s="16" t="str">
        <x:v>县统计公报/政府工作报告→统计年鉴→市级年鉴</x:v>
      </x:c>
    </x:row>
    <x:row r="32">
      <x:c r="A32" s="16" t="str">
        <x:v>会昌县</x:v>
      </x:c>
      <x:c r="B32" s="16" t="str">
        <x:v>赣州市</x:v>
      </x:c>
      <x:c r="C32" s="16" t="str">
        <x:f>'73县体检'!J32</x:f>
      </x:c>
      <x:c r="D32" s="16" t="str">
        <x:f>'73县体检'!M32</x:f>
      </x:c>
      <x:c r="E32" s="16" t="str">
        <x:f>'73县体检'!O32</x:f>
      </x:c>
      <x:c r="F32" s="16" t="str">
        <x:f>IF(AND('73县体检'!P32&lt;&gt;"",'73县体检'!Q32&lt;&gt;""),"已补","缺")</x:f>
        <x:v>缺</x:v>
      </x:c>
      <x:c r="G32" s="16" t="str">
        <x:f>IF('73县体检'!R32&lt;&gt;"","已补","缺")</x:f>
        <x:v>缺</x:v>
      </x:c>
      <x:c r="H32" s="16" t="str">
        <x:v>县统计公报/政府工作报告→统计年鉴→市级年鉴</x:v>
      </x:c>
    </x:row>
    <x:row r="33">
      <x:c r="A33" s="16" t="str">
        <x:v>寻乌县</x:v>
      </x:c>
      <x:c r="B33" s="16" t="str">
        <x:v>赣州市</x:v>
      </x:c>
      <x:c r="C33" s="16" t="str">
        <x:f>'73县体检'!J33</x:f>
      </x:c>
      <x:c r="D33" s="16" t="str">
        <x:f>'73县体检'!M33</x:f>
      </x:c>
      <x:c r="E33" s="16" t="str">
        <x:f>'73县体检'!O33</x:f>
      </x:c>
      <x:c r="F33" s="16" t="str">
        <x:f>IF(AND('73县体检'!P33&lt;&gt;"",'73县体检'!Q33&lt;&gt;""),"已补","缺")</x:f>
        <x:v>缺</x:v>
      </x:c>
      <x:c r="G33" s="16" t="str">
        <x:f>IF('73县体检'!R33&lt;&gt;"","已补","缺")</x:f>
        <x:v>缺</x:v>
      </x:c>
      <x:c r="H33" s="16" t="str">
        <x:v>县统计公报/政府工作报告→统计年鉴→市级年鉴</x:v>
      </x:c>
    </x:row>
    <x:row r="34">
      <x:c r="A34" s="16" t="str">
        <x:v>石城县</x:v>
      </x:c>
      <x:c r="B34" s="16" t="str">
        <x:v>赣州市</x:v>
      </x:c>
      <x:c r="C34" s="16" t="str">
        <x:f>'73县体检'!J34</x:f>
      </x:c>
      <x:c r="D34" s="16" t="str">
        <x:f>'73县体检'!M34</x:f>
      </x:c>
      <x:c r="E34" s="16" t="str">
        <x:f>'73县体检'!O34</x:f>
      </x:c>
      <x:c r="F34" s="16" t="str">
        <x:f>IF(AND('73县体检'!P34&lt;&gt;"",'73县体检'!Q34&lt;&gt;""),"已补","缺")</x:f>
        <x:v>缺</x:v>
      </x:c>
      <x:c r="G34" s="16" t="str">
        <x:f>IF('73县体检'!R34&lt;&gt;"","已补","缺")</x:f>
        <x:v>缺</x:v>
      </x:c>
      <x:c r="H34" s="16" t="str">
        <x:v>县统计公报/政府工作报告→统计年鉴→市级年鉴</x:v>
      </x:c>
    </x:row>
    <x:row r="35">
      <x:c r="A35" s="16" t="str">
        <x:v>瑞金市</x:v>
      </x:c>
      <x:c r="B35" s="16" t="str">
        <x:v>赣州市</x:v>
      </x:c>
      <x:c r="C35" s="16" t="str">
        <x:f>'73县体检'!J35</x:f>
      </x:c>
      <x:c r="D35" s="16" t="str">
        <x:f>'73县体检'!M35</x:f>
      </x:c>
      <x:c r="E35" s="16" t="str">
        <x:f>'73县体检'!O35</x:f>
      </x:c>
      <x:c r="F35" s="16" t="str">
        <x:f>IF(AND('73县体检'!P35&lt;&gt;"",'73县体检'!Q35&lt;&gt;""),"已补","缺")</x:f>
        <x:v>缺</x:v>
      </x:c>
      <x:c r="G35" s="16" t="str">
        <x:f>IF('73县体检'!R35&lt;&gt;"","已补","缺")</x:f>
        <x:v>缺</x:v>
      </x:c>
      <x:c r="H35" s="16" t="str">
        <x:v>县统计公报/政府工作报告→统计年鉴→市级年鉴</x:v>
      </x:c>
    </x:row>
    <x:row r="36">
      <x:c r="A36" s="16" t="str">
        <x:v>龙南市</x:v>
      </x:c>
      <x:c r="B36" s="16" t="str">
        <x:v>赣州市</x:v>
      </x:c>
      <x:c r="C36" s="16" t="str">
        <x:f>'73县体检'!J36</x:f>
      </x:c>
      <x:c r="D36" s="16" t="str">
        <x:f>'73县体检'!M36</x:f>
      </x:c>
      <x:c r="E36" s="16" t="str">
        <x:f>'73县体检'!O36</x:f>
      </x:c>
      <x:c r="F36" s="16" t="str">
        <x:f>IF(AND('73县体检'!P36&lt;&gt;"",'73县体检'!Q36&lt;&gt;""),"已补","缺")</x:f>
        <x:v>缺</x:v>
      </x:c>
      <x:c r="G36" s="16" t="str">
        <x:f>IF('73县体检'!R36&lt;&gt;"","已补","缺")</x:f>
        <x:v>缺</x:v>
      </x:c>
      <x:c r="H36" s="16" t="str">
        <x:v>县统计公报/政府工作报告→统计年鉴→市级年鉴</x:v>
      </x:c>
    </x:row>
    <x:row r="37">
      <x:c r="A37" s="16" t="str">
        <x:v>吉安县</x:v>
      </x:c>
      <x:c r="B37" s="16" t="str">
        <x:v>吉安市</x:v>
      </x:c>
      <x:c r="C37" s="16" t="str">
        <x:f>'73县体检'!J37</x:f>
      </x:c>
      <x:c r="D37" s="16" t="str">
        <x:f>'73县体检'!M37</x:f>
      </x:c>
      <x:c r="E37" s="16" t="str">
        <x:f>'73县体检'!O37</x:f>
      </x:c>
      <x:c r="F37" s="16" t="str">
        <x:f>IF(AND('73县体检'!P37&lt;&gt;"",'73县体检'!Q37&lt;&gt;""),"已补","缺")</x:f>
        <x:v>缺</x:v>
      </x:c>
      <x:c r="G37" s="16" t="str">
        <x:f>IF('73县体检'!R37&lt;&gt;"","已补","缺")</x:f>
        <x:v>缺</x:v>
      </x:c>
      <x:c r="H37" s="16" t="str">
        <x:v>县统计公报/政府工作报告→统计年鉴→市级年鉴</x:v>
      </x:c>
    </x:row>
    <x:row r="38">
      <x:c r="A38" s="16" t="str">
        <x:v>吉水县</x:v>
      </x:c>
      <x:c r="B38" s="16" t="str">
        <x:v>吉安市</x:v>
      </x:c>
      <x:c r="C38" s="16" t="str">
        <x:f>'73县体检'!J38</x:f>
      </x:c>
      <x:c r="D38" s="16" t="str">
        <x:f>'73县体检'!M38</x:f>
      </x:c>
      <x:c r="E38" s="16" t="str">
        <x:f>'73县体检'!O38</x:f>
      </x:c>
      <x:c r="F38" s="16" t="str">
        <x:f>IF(AND('73县体检'!P38&lt;&gt;"",'73县体检'!Q38&lt;&gt;""),"已补","缺")</x:f>
        <x:v>缺</x:v>
      </x:c>
      <x:c r="G38" s="16" t="str">
        <x:f>IF('73县体检'!R38&lt;&gt;"","已补","缺")</x:f>
        <x:v>缺</x:v>
      </x:c>
      <x:c r="H38" s="16" t="str">
        <x:v>县统计公报/政府工作报告→统计年鉴→市级年鉴</x:v>
      </x:c>
    </x:row>
    <x:row r="39">
      <x:c r="A39" s="16" t="str">
        <x:v>峡江县</x:v>
      </x:c>
      <x:c r="B39" s="16" t="str">
        <x:v>吉安市</x:v>
      </x:c>
      <x:c r="C39" s="16" t="str">
        <x:f>'73县体检'!J39</x:f>
      </x:c>
      <x:c r="D39" s="16" t="str">
        <x:f>'73县体检'!M39</x:f>
      </x:c>
      <x:c r="E39" s="16" t="str">
        <x:f>'73县体检'!O39</x:f>
      </x:c>
      <x:c r="F39" s="16" t="str">
        <x:f>IF(AND('73县体检'!P39&lt;&gt;"",'73县体检'!Q39&lt;&gt;""),"已补","缺")</x:f>
        <x:v>缺</x:v>
      </x:c>
      <x:c r="G39" s="16" t="str">
        <x:f>IF('73县体检'!R39&lt;&gt;"","已补","缺")</x:f>
        <x:v>缺</x:v>
      </x:c>
      <x:c r="H39" s="16" t="str">
        <x:v>县统计公报/政府工作报告→统计年鉴→市级年鉴</x:v>
      </x:c>
    </x:row>
    <x:row r="40">
      <x:c r="A40" s="16" t="str">
        <x:v>新干县</x:v>
      </x:c>
      <x:c r="B40" s="16" t="str">
        <x:v>吉安市</x:v>
      </x:c>
      <x:c r="C40" s="16" t="str">
        <x:f>'73县体检'!J40</x:f>
      </x:c>
      <x:c r="D40" s="16" t="str">
        <x:f>'73县体检'!M40</x:f>
      </x:c>
      <x:c r="E40" s="16" t="str">
        <x:f>'73县体检'!O40</x:f>
      </x:c>
      <x:c r="F40" s="16" t="str">
        <x:f>IF(AND('73县体检'!P40&lt;&gt;"",'73县体检'!Q40&lt;&gt;""),"已补","缺")</x:f>
        <x:v>缺</x:v>
      </x:c>
      <x:c r="G40" s="16" t="str">
        <x:f>IF('73县体检'!R40&lt;&gt;"","已补","缺")</x:f>
        <x:v>缺</x:v>
      </x:c>
      <x:c r="H40" s="16" t="str">
        <x:v>县统计公报/政府工作报告→统计年鉴→市级年鉴</x:v>
      </x:c>
    </x:row>
    <x:row r="41">
      <x:c r="A41" s="16" t="str">
        <x:v>永丰县</x:v>
      </x:c>
      <x:c r="B41" s="16" t="str">
        <x:v>吉安市</x:v>
      </x:c>
      <x:c r="C41" s="16" t="str">
        <x:f>'73县体检'!J41</x:f>
      </x:c>
      <x:c r="D41" s="16" t="str">
        <x:f>'73县体检'!M41</x:f>
      </x:c>
      <x:c r="E41" s="16" t="str">
        <x:f>'73县体检'!O41</x:f>
      </x:c>
      <x:c r="F41" s="16" t="str">
        <x:f>IF(AND('73县体检'!P41&lt;&gt;"",'73县体检'!Q41&lt;&gt;""),"已补","缺")</x:f>
        <x:v>缺</x:v>
      </x:c>
      <x:c r="G41" s="16" t="str">
        <x:f>IF('73县体检'!R41&lt;&gt;"","已补","缺")</x:f>
        <x:v>缺</x:v>
      </x:c>
      <x:c r="H41" s="16" t="str">
        <x:v>县统计公报/政府工作报告→统计年鉴→市级年鉴</x:v>
      </x:c>
    </x:row>
    <x:row r="42">
      <x:c r="A42" s="16" t="str">
        <x:v>泰和县</x:v>
      </x:c>
      <x:c r="B42" s="16" t="str">
        <x:v>吉安市</x:v>
      </x:c>
      <x:c r="C42" s="16" t="str">
        <x:f>'73县体检'!J42</x:f>
      </x:c>
      <x:c r="D42" s="16" t="str">
        <x:f>'73县体检'!M42</x:f>
      </x:c>
      <x:c r="E42" s="16" t="str">
        <x:f>'73县体检'!O42</x:f>
      </x:c>
      <x:c r="F42" s="16" t="str">
        <x:f>IF(AND('73县体检'!P42&lt;&gt;"",'73县体检'!Q42&lt;&gt;""),"已补","缺")</x:f>
        <x:v>缺</x:v>
      </x:c>
      <x:c r="G42" s="16" t="str">
        <x:f>IF('73县体检'!R42&lt;&gt;"","已补","缺")</x:f>
        <x:v>缺</x:v>
      </x:c>
      <x:c r="H42" s="16" t="str">
        <x:v>县统计公报/政府工作报告→统计年鉴→市级年鉴</x:v>
      </x:c>
    </x:row>
    <x:row r="43">
      <x:c r="A43" s="16" t="str">
        <x:v>遂川县</x:v>
      </x:c>
      <x:c r="B43" s="16" t="str">
        <x:v>吉安市</x:v>
      </x:c>
      <x:c r="C43" s="16" t="str">
        <x:f>'73县体检'!J43</x:f>
      </x:c>
      <x:c r="D43" s="16" t="str">
        <x:f>'73县体检'!M43</x:f>
      </x:c>
      <x:c r="E43" s="16" t="str">
        <x:f>'73县体检'!O43</x:f>
      </x:c>
      <x:c r="F43" s="16" t="str">
        <x:f>IF(AND('73县体检'!P43&lt;&gt;"",'73县体检'!Q43&lt;&gt;""),"已补","缺")</x:f>
        <x:v>缺</x:v>
      </x:c>
      <x:c r="G43" s="16" t="str">
        <x:f>IF('73县体检'!R43&lt;&gt;"","已补","缺")</x:f>
        <x:v>缺</x:v>
      </x:c>
      <x:c r="H43" s="16" t="str">
        <x:v>县统计公报/政府工作报告→统计年鉴→市级年鉴</x:v>
      </x:c>
    </x:row>
    <x:row r="44">
      <x:c r="A44" s="16" t="str">
        <x:v>万安县</x:v>
      </x:c>
      <x:c r="B44" s="16" t="str">
        <x:v>吉安市</x:v>
      </x:c>
      <x:c r="C44" s="16" t="str">
        <x:f>'73县体检'!J44</x:f>
      </x:c>
      <x:c r="D44" s="16" t="str">
        <x:f>'73县体检'!M44</x:f>
      </x:c>
      <x:c r="E44" s="16" t="str">
        <x:f>'73县体检'!O44</x:f>
      </x:c>
      <x:c r="F44" s="16" t="str">
        <x:f>IF(AND('73县体检'!P44&lt;&gt;"",'73县体检'!Q44&lt;&gt;""),"已补","缺")</x:f>
        <x:v>缺</x:v>
      </x:c>
      <x:c r="G44" s="16" t="str">
        <x:f>IF('73县体检'!R44&lt;&gt;"","已补","缺")</x:f>
        <x:v>缺</x:v>
      </x:c>
      <x:c r="H44" s="16" t="str">
        <x:v>县统计公报/政府工作报告→统计年鉴→市级年鉴</x:v>
      </x:c>
    </x:row>
    <x:row r="45">
      <x:c r="A45" s="16" t="str">
        <x:v>安福县</x:v>
      </x:c>
      <x:c r="B45" s="16" t="str">
        <x:v>吉安市</x:v>
      </x:c>
      <x:c r="C45" s="16" t="str">
        <x:f>'73县体检'!J45</x:f>
      </x:c>
      <x:c r="D45" s="16" t="str">
        <x:f>'73县体检'!M45</x:f>
      </x:c>
      <x:c r="E45" s="16" t="str">
        <x:f>'73县体检'!O45</x:f>
      </x:c>
      <x:c r="F45" s="16" t="str">
        <x:f>IF(AND('73县体检'!P45&lt;&gt;"",'73县体检'!Q45&lt;&gt;""),"已补","缺")</x:f>
        <x:v>缺</x:v>
      </x:c>
      <x:c r="G45" s="16" t="str">
        <x:f>IF('73县体检'!R45&lt;&gt;"","已补","缺")</x:f>
        <x:v>缺</x:v>
      </x:c>
      <x:c r="H45" s="16" t="str">
        <x:v>县统计公报/政府工作报告→统计年鉴→市级年鉴</x:v>
      </x:c>
    </x:row>
    <x:row r="46">
      <x:c r="A46" s="16" t="str">
        <x:v>永新县</x:v>
      </x:c>
      <x:c r="B46" s="16" t="str">
        <x:v>吉安市</x:v>
      </x:c>
      <x:c r="C46" s="16" t="str">
        <x:f>'73县体检'!J46</x:f>
      </x:c>
      <x:c r="D46" s="16" t="str">
        <x:f>'73县体检'!M46</x:f>
      </x:c>
      <x:c r="E46" s="16" t="str">
        <x:f>'73县体检'!O46</x:f>
      </x:c>
      <x:c r="F46" s="16" t="str">
        <x:f>IF(AND('73县体检'!P46&lt;&gt;"",'73县体检'!Q46&lt;&gt;""),"已补","缺")</x:f>
        <x:v>缺</x:v>
      </x:c>
      <x:c r="G46" s="16" t="str">
        <x:f>IF('73县体检'!R46&lt;&gt;"","已补","缺")</x:f>
        <x:v>缺</x:v>
      </x:c>
      <x:c r="H46" s="16" t="str">
        <x:v>县统计公报/政府工作报告→统计年鉴→市级年鉴</x:v>
      </x:c>
    </x:row>
    <x:row r="47">
      <x:c r="A47" s="16" t="str">
        <x:v>井冈山市</x:v>
      </x:c>
      <x:c r="B47" s="16" t="str">
        <x:v>吉安市</x:v>
      </x:c>
      <x:c r="C47" s="16" t="str">
        <x:f>'73县体检'!J47</x:f>
      </x:c>
      <x:c r="D47" s="16" t="str">
        <x:f>'73县体检'!M47</x:f>
      </x:c>
      <x:c r="E47" s="16" t="str">
        <x:f>'73县体检'!O47</x:f>
      </x:c>
      <x:c r="F47" s="16" t="str">
        <x:f>IF(AND('73县体检'!P47&lt;&gt;"",'73县体检'!Q47&lt;&gt;""),"已补","缺")</x:f>
        <x:v>缺</x:v>
      </x:c>
      <x:c r="G47" s="16" t="str">
        <x:f>IF('73县体检'!R47&lt;&gt;"","已补","缺")</x:f>
        <x:v>缺</x:v>
      </x:c>
      <x:c r="H47" s="16" t="str">
        <x:v>县统计公报/政府工作报告→统计年鉴→市级年鉴</x:v>
      </x:c>
    </x:row>
    <x:row r="48">
      <x:c r="A48" s="16" t="str">
        <x:v>丰城市</x:v>
      </x:c>
      <x:c r="B48" s="16" t="str">
        <x:v>宜春市</x:v>
      </x:c>
      <x:c r="C48" s="16" t="str">
        <x:f>'73县体检'!J48</x:f>
      </x:c>
      <x:c r="D48" s="16" t="str">
        <x:f>'73县体检'!M48</x:f>
      </x:c>
      <x:c r="E48" s="16" t="str">
        <x:f>'73县体检'!O48</x:f>
      </x:c>
      <x:c r="F48" s="16" t="str">
        <x:f>IF(AND('73县体检'!P48&lt;&gt;"",'73县体检'!Q48&lt;&gt;""),"已补","缺")</x:f>
        <x:v>缺</x:v>
      </x:c>
      <x:c r="G48" s="16" t="str">
        <x:f>IF('73县体检'!R48&lt;&gt;"","已补","缺")</x:f>
        <x:v>缺</x:v>
      </x:c>
      <x:c r="H48" s="16" t="str">
        <x:v>县统计公报/政府工作报告→统计年鉴→市级年鉴</x:v>
      </x:c>
    </x:row>
    <x:row r="49">
      <x:c r="A49" s="16" t="str">
        <x:v>樟树市</x:v>
      </x:c>
      <x:c r="B49" s="16" t="str">
        <x:v>宜春市</x:v>
      </x:c>
      <x:c r="C49" s="16" t="str">
        <x:f>'73县体检'!J49</x:f>
      </x:c>
      <x:c r="D49" s="16" t="str">
        <x:f>'73县体检'!M49</x:f>
      </x:c>
      <x:c r="E49" s="16" t="str">
        <x:f>'73县体检'!O49</x:f>
      </x:c>
      <x:c r="F49" s="16" t="str">
        <x:f>IF(AND('73县体检'!P49&lt;&gt;"",'73县体检'!Q49&lt;&gt;""),"已补","缺")</x:f>
        <x:v>缺</x:v>
      </x:c>
      <x:c r="G49" s="16" t="str">
        <x:f>IF('73县体检'!R49&lt;&gt;"","已补","缺")</x:f>
        <x:v>缺</x:v>
      </x:c>
      <x:c r="H49" s="16" t="str">
        <x:v>县统计公报/政府工作报告→统计年鉴→市级年鉴</x:v>
      </x:c>
    </x:row>
    <x:row r="50">
      <x:c r="A50" s="16" t="str">
        <x:v>高安市</x:v>
      </x:c>
      <x:c r="B50" s="16" t="str">
        <x:v>宜春市</x:v>
      </x:c>
      <x:c r="C50" s="16" t="str">
        <x:f>'73县体检'!J50</x:f>
      </x:c>
      <x:c r="D50" s="16" t="str">
        <x:f>'73县体检'!M50</x:f>
      </x:c>
      <x:c r="E50" s="16" t="str">
        <x:f>'73县体检'!O50</x:f>
      </x:c>
      <x:c r="F50" s="16" t="str">
        <x:f>IF(AND('73县体检'!P50&lt;&gt;"",'73县体检'!Q50&lt;&gt;""),"已补","缺")</x:f>
        <x:v>缺</x:v>
      </x:c>
      <x:c r="G50" s="16" t="str">
        <x:f>IF('73县体检'!R50&lt;&gt;"","已补","缺")</x:f>
        <x:v>缺</x:v>
      </x:c>
      <x:c r="H50" s="16" t="str">
        <x:v>县统计公报/政府工作报告→统计年鉴→市级年鉴</x:v>
      </x:c>
    </x:row>
    <x:row r="51">
      <x:c r="A51" s="16" t="str">
        <x:v>奉新县</x:v>
      </x:c>
      <x:c r="B51" s="16" t="str">
        <x:v>宜春市</x:v>
      </x:c>
      <x:c r="C51" s="16" t="str">
        <x:f>'73县体检'!J51</x:f>
      </x:c>
      <x:c r="D51" s="16" t="str">
        <x:f>'73县体检'!M51</x:f>
      </x:c>
      <x:c r="E51" s="16" t="str">
        <x:f>'73县体检'!O51</x:f>
      </x:c>
      <x:c r="F51" s="16" t="str">
        <x:f>IF(AND('73县体检'!P51&lt;&gt;"",'73县体检'!Q51&lt;&gt;""),"已补","缺")</x:f>
        <x:v>缺</x:v>
      </x:c>
      <x:c r="G51" s="16" t="str">
        <x:f>IF('73县体检'!R51&lt;&gt;"","已补","缺")</x:f>
        <x:v>缺</x:v>
      </x:c>
      <x:c r="H51" s="16" t="str">
        <x:v>县统计公报/政府工作报告→统计年鉴→市级年鉴</x:v>
      </x:c>
    </x:row>
    <x:row r="52">
      <x:c r="A52" s="16" t="str">
        <x:v>万载县</x:v>
      </x:c>
      <x:c r="B52" s="16" t="str">
        <x:v>宜春市</x:v>
      </x:c>
      <x:c r="C52" s="16" t="str">
        <x:f>'73县体检'!J52</x:f>
      </x:c>
      <x:c r="D52" s="16" t="str">
        <x:f>'73县体检'!M52</x:f>
      </x:c>
      <x:c r="E52" s="16" t="str">
        <x:f>'73县体检'!O52</x:f>
      </x:c>
      <x:c r="F52" s="16" t="str">
        <x:f>IF(AND('73县体检'!P52&lt;&gt;"",'73县体检'!Q52&lt;&gt;""),"已补","缺")</x:f>
        <x:v>缺</x:v>
      </x:c>
      <x:c r="G52" s="16" t="str">
        <x:f>IF('73县体检'!R52&lt;&gt;"","已补","缺")</x:f>
        <x:v>缺</x:v>
      </x:c>
      <x:c r="H52" s="16" t="str">
        <x:v>县统计公报/政府工作报告→统计年鉴→市级年鉴</x:v>
      </x:c>
    </x:row>
    <x:row r="53">
      <x:c r="A53" s="16" t="str">
        <x:v>上高县</x:v>
      </x:c>
      <x:c r="B53" s="16" t="str">
        <x:v>宜春市</x:v>
      </x:c>
      <x:c r="C53" s="16" t="str">
        <x:f>'73县体检'!J53</x:f>
      </x:c>
      <x:c r="D53" s="16" t="str">
        <x:f>'73县体检'!M53</x:f>
      </x:c>
      <x:c r="E53" s="16" t="str">
        <x:f>'73县体检'!O53</x:f>
      </x:c>
      <x:c r="F53" s="16" t="str">
        <x:f>IF(AND('73县体检'!P53&lt;&gt;"",'73县体检'!Q53&lt;&gt;""),"已补","缺")</x:f>
        <x:v>缺</x:v>
      </x:c>
      <x:c r="G53" s="16" t="str">
        <x:f>IF('73县体检'!R53&lt;&gt;"","已补","缺")</x:f>
        <x:v>缺</x:v>
      </x:c>
      <x:c r="H53" s="16" t="str">
        <x:v>县统计公报/政府工作报告→统计年鉴→市级年鉴</x:v>
      </x:c>
    </x:row>
    <x:row r="54">
      <x:c r="A54" s="16" t="str">
        <x:v>宜丰县</x:v>
      </x:c>
      <x:c r="B54" s="16" t="str">
        <x:v>宜春市</x:v>
      </x:c>
      <x:c r="C54" s="16" t="str">
        <x:f>'73县体检'!J54</x:f>
      </x:c>
      <x:c r="D54" s="16" t="str">
        <x:f>'73县体检'!M54</x:f>
      </x:c>
      <x:c r="E54" s="16" t="str">
        <x:f>'73县体检'!O54</x:f>
      </x:c>
      <x:c r="F54" s="16" t="str">
        <x:f>IF(AND('73县体检'!P54&lt;&gt;"",'73县体检'!Q54&lt;&gt;""),"已补","缺")</x:f>
        <x:v>缺</x:v>
      </x:c>
      <x:c r="G54" s="16" t="str">
        <x:f>IF('73县体检'!R54&lt;&gt;"","已补","缺")</x:f>
        <x:v>缺</x:v>
      </x:c>
      <x:c r="H54" s="16" t="str">
        <x:v>县统计公报/政府工作报告→统计年鉴→市级年鉴</x:v>
      </x:c>
    </x:row>
    <x:row r="55">
      <x:c r="A55" s="16" t="str">
        <x:v>靖安县</x:v>
      </x:c>
      <x:c r="B55" s="16" t="str">
        <x:v>宜春市</x:v>
      </x:c>
      <x:c r="C55" s="16" t="str">
        <x:f>'73县体检'!J55</x:f>
      </x:c>
      <x:c r="D55" s="16" t="str">
        <x:f>'73县体检'!M55</x:f>
      </x:c>
      <x:c r="E55" s="16" t="str">
        <x:f>'73县体检'!O55</x:f>
      </x:c>
      <x:c r="F55" s="16" t="str">
        <x:f>IF(AND('73县体检'!P55&lt;&gt;"",'73县体检'!Q55&lt;&gt;""),"已补","缺")</x:f>
        <x:v>缺</x:v>
      </x:c>
      <x:c r="G55" s="16" t="str">
        <x:f>IF('73县体检'!R55&lt;&gt;"","已补","缺")</x:f>
        <x:v>缺</x:v>
      </x:c>
      <x:c r="H55" s="16" t="str">
        <x:v>县统计公报/政府工作报告→统计年鉴→市级年鉴</x:v>
      </x:c>
    </x:row>
    <x:row r="56">
      <x:c r="A56" s="16" t="str">
        <x:v>铜鼓县</x:v>
      </x:c>
      <x:c r="B56" s="16" t="str">
        <x:v>宜春市</x:v>
      </x:c>
      <x:c r="C56" s="16" t="str">
        <x:f>'73县体检'!J56</x:f>
      </x:c>
      <x:c r="D56" s="16" t="str">
        <x:f>'73县体检'!M56</x:f>
      </x:c>
      <x:c r="E56" s="16" t="str">
        <x:f>'73县体检'!O56</x:f>
      </x:c>
      <x:c r="F56" s="16" t="str">
        <x:f>IF(AND('73县体检'!P56&lt;&gt;"",'73县体检'!Q56&lt;&gt;""),"已补","缺")</x:f>
        <x:v>缺</x:v>
      </x:c>
      <x:c r="G56" s="16" t="str">
        <x:f>IF('73县体检'!R56&lt;&gt;"","已补","缺")</x:f>
        <x:v>缺</x:v>
      </x:c>
      <x:c r="H56" s="16" t="str">
        <x:v>县统计公报/政府工作报告→统计年鉴→市级年鉴</x:v>
      </x:c>
    </x:row>
    <x:row r="57">
      <x:c r="A57" s="16" t="str">
        <x:v>南城县</x:v>
      </x:c>
      <x:c r="B57" s="16" t="str">
        <x:v>抚州市</x:v>
      </x:c>
      <x:c r="C57" s="16" t="str">
        <x:f>'73县体检'!J57</x:f>
      </x:c>
      <x:c r="D57" s="16" t="str">
        <x:f>'73县体检'!M57</x:f>
      </x:c>
      <x:c r="E57" s="16" t="str">
        <x:f>'73县体检'!O57</x:f>
      </x:c>
      <x:c r="F57" s="16" t="str">
        <x:f>IF(AND('73县体检'!P57&lt;&gt;"",'73县体检'!Q57&lt;&gt;""),"已补","缺")</x:f>
        <x:v>缺</x:v>
      </x:c>
      <x:c r="G57" s="16" t="str">
        <x:f>IF('73县体检'!R57&lt;&gt;"","已补","缺")</x:f>
        <x:v>缺</x:v>
      </x:c>
      <x:c r="H57" s="16" t="str">
        <x:v>县统计公报/政府工作报告→统计年鉴→市级年鉴</x:v>
      </x:c>
    </x:row>
    <x:row r="58">
      <x:c r="A58" s="16" t="str">
        <x:v>黎川县</x:v>
      </x:c>
      <x:c r="B58" s="16" t="str">
        <x:v>抚州市</x:v>
      </x:c>
      <x:c r="C58" s="16" t="str">
        <x:f>'73县体检'!J58</x:f>
      </x:c>
      <x:c r="D58" s="16" t="str">
        <x:f>'73县体检'!M58</x:f>
      </x:c>
      <x:c r="E58" s="16" t="str">
        <x:f>'73县体检'!O58</x:f>
      </x:c>
      <x:c r="F58" s="16" t="str">
        <x:f>IF(AND('73县体检'!P58&lt;&gt;"",'73县体检'!Q58&lt;&gt;""),"已补","缺")</x:f>
        <x:v>缺</x:v>
      </x:c>
      <x:c r="G58" s="16" t="str">
        <x:f>IF('73县体检'!R58&lt;&gt;"","已补","缺")</x:f>
        <x:v>缺</x:v>
      </x:c>
      <x:c r="H58" s="16" t="str">
        <x:v>县统计公报/政府工作报告→统计年鉴→市级年鉴</x:v>
      </x:c>
    </x:row>
    <x:row r="59">
      <x:c r="A59" s="16" t="str">
        <x:v>南丰县</x:v>
      </x:c>
      <x:c r="B59" s="16" t="str">
        <x:v>抚州市</x:v>
      </x:c>
      <x:c r="C59" s="16" t="str">
        <x:f>'73县体检'!J59</x:f>
      </x:c>
      <x:c r="D59" s="16" t="str">
        <x:f>'73县体检'!M59</x:f>
      </x:c>
      <x:c r="E59" s="16" t="str">
        <x:f>'73县体检'!O59</x:f>
      </x:c>
      <x:c r="F59" s="16" t="str">
        <x:f>IF(AND('73县体检'!P59&lt;&gt;"",'73县体检'!Q59&lt;&gt;""),"已补","缺")</x:f>
        <x:v>缺</x:v>
      </x:c>
      <x:c r="G59" s="16" t="str">
        <x:f>IF('73县体检'!R59&lt;&gt;"","已补","缺")</x:f>
        <x:v>缺</x:v>
      </x:c>
      <x:c r="H59" s="16" t="str">
        <x:v>县统计公报/政府工作报告→统计年鉴→市级年鉴</x:v>
      </x:c>
    </x:row>
    <x:row r="60">
      <x:c r="A60" s="16" t="str">
        <x:v>崇仁县</x:v>
      </x:c>
      <x:c r="B60" s="16" t="str">
        <x:v>抚州市</x:v>
      </x:c>
      <x:c r="C60" s="16" t="str">
        <x:f>'73县体检'!J60</x:f>
      </x:c>
      <x:c r="D60" s="16" t="str">
        <x:f>'73县体检'!M60</x:f>
      </x:c>
      <x:c r="E60" s="16" t="str">
        <x:f>'73县体检'!O60</x:f>
      </x:c>
      <x:c r="F60" s="16" t="str">
        <x:f>IF(AND('73县体检'!P60&lt;&gt;"",'73县体检'!Q60&lt;&gt;""),"已补","缺")</x:f>
        <x:v>缺</x:v>
      </x:c>
      <x:c r="G60" s="16" t="str">
        <x:f>IF('73县体检'!R60&lt;&gt;"","已补","缺")</x:f>
        <x:v>缺</x:v>
      </x:c>
      <x:c r="H60" s="16" t="str">
        <x:v>县统计公报/政府工作报告→统计年鉴→市级年鉴</x:v>
      </x:c>
    </x:row>
    <x:row r="61">
      <x:c r="A61" s="16" t="str">
        <x:v>乐安县</x:v>
      </x:c>
      <x:c r="B61" s="16" t="str">
        <x:v>抚州市</x:v>
      </x:c>
      <x:c r="C61" s="16" t="str">
        <x:f>'73县体检'!J61</x:f>
      </x:c>
      <x:c r="D61" s="16" t="str">
        <x:f>'73县体检'!M61</x:f>
      </x:c>
      <x:c r="E61" s="16" t="str">
        <x:f>'73县体检'!O61</x:f>
      </x:c>
      <x:c r="F61" s="16" t="str">
        <x:f>IF(AND('73县体检'!P61&lt;&gt;"",'73县体检'!Q61&lt;&gt;""),"已补","缺")</x:f>
        <x:v>缺</x:v>
      </x:c>
      <x:c r="G61" s="16" t="str">
        <x:f>IF('73县体检'!R61&lt;&gt;"","已补","缺")</x:f>
        <x:v>缺</x:v>
      </x:c>
      <x:c r="H61" s="16" t="str">
        <x:v>县统计公报/政府工作报告→统计年鉴→市级年鉴</x:v>
      </x:c>
    </x:row>
    <x:row r="62">
      <x:c r="A62" s="16" t="str">
        <x:v>宜黄县</x:v>
      </x:c>
      <x:c r="B62" s="16" t="str">
        <x:v>抚州市</x:v>
      </x:c>
      <x:c r="C62" s="16" t="str">
        <x:f>'73县体检'!J62</x:f>
      </x:c>
      <x:c r="D62" s="16" t="str">
        <x:f>'73县体检'!M62</x:f>
      </x:c>
      <x:c r="E62" s="16" t="str">
        <x:f>'73县体检'!O62</x:f>
      </x:c>
      <x:c r="F62" s="16" t="str">
        <x:f>IF(AND('73县体检'!P62&lt;&gt;"",'73县体检'!Q62&lt;&gt;""),"已补","缺")</x:f>
        <x:v>缺</x:v>
      </x:c>
      <x:c r="G62" s="16" t="str">
        <x:f>IF('73县体检'!R62&lt;&gt;"","已补","缺")</x:f>
        <x:v>缺</x:v>
      </x:c>
      <x:c r="H62" s="16" t="str">
        <x:v>县统计公报/政府工作报告→统计年鉴→市级年鉴</x:v>
      </x:c>
    </x:row>
    <x:row r="63">
      <x:c r="A63" s="16" t="str">
        <x:v>金溪县</x:v>
      </x:c>
      <x:c r="B63" s="16" t="str">
        <x:v>抚州市</x:v>
      </x:c>
      <x:c r="C63" s="16" t="str">
        <x:f>'73县体检'!J63</x:f>
      </x:c>
      <x:c r="D63" s="16" t="str">
        <x:f>'73县体检'!M63</x:f>
      </x:c>
      <x:c r="E63" s="16" t="str">
        <x:f>'73县体检'!O63</x:f>
      </x:c>
      <x:c r="F63" s="16" t="str">
        <x:f>IF(AND('73县体检'!P63&lt;&gt;"",'73县体检'!Q63&lt;&gt;""),"已补","缺")</x:f>
        <x:v>缺</x:v>
      </x:c>
      <x:c r="G63" s="16" t="str">
        <x:f>IF('73县体检'!R63&lt;&gt;"","已补","缺")</x:f>
        <x:v>缺</x:v>
      </x:c>
      <x:c r="H63" s="16" t="str">
        <x:v>县统计公报/政府工作报告→统计年鉴→市级年鉴</x:v>
      </x:c>
    </x:row>
    <x:row r="64">
      <x:c r="A64" s="16" t="str">
        <x:v>资溪县</x:v>
      </x:c>
      <x:c r="B64" s="16" t="str">
        <x:v>抚州市</x:v>
      </x:c>
      <x:c r="C64" s="16" t="str">
        <x:f>'73县体检'!J64</x:f>
      </x:c>
      <x:c r="D64" s="16" t="str">
        <x:f>'73县体检'!M64</x:f>
      </x:c>
      <x:c r="E64" s="16" t="str">
        <x:f>'73县体检'!O64</x:f>
      </x:c>
      <x:c r="F64" s="16" t="str">
        <x:f>IF(AND('73县体检'!P64&lt;&gt;"",'73县体检'!Q64&lt;&gt;""),"已补","缺")</x:f>
        <x:v>缺</x:v>
      </x:c>
      <x:c r="G64" s="16" t="str">
        <x:f>IF('73县体检'!R64&lt;&gt;"","已补","缺")</x:f>
        <x:v>缺</x:v>
      </x:c>
      <x:c r="H64" s="16" t="str">
        <x:v>县统计公报/政府工作报告→统计年鉴→市级年鉴</x:v>
      </x:c>
    </x:row>
    <x:row r="65">
      <x:c r="A65" s="16" t="str">
        <x:v>广昌县</x:v>
      </x:c>
      <x:c r="B65" s="16" t="str">
        <x:v>抚州市</x:v>
      </x:c>
      <x:c r="C65" s="16" t="str">
        <x:f>'73县体检'!J65</x:f>
      </x:c>
      <x:c r="D65" s="16" t="str">
        <x:f>'73县体检'!M65</x:f>
      </x:c>
      <x:c r="E65" s="16" t="str">
        <x:f>'73县体检'!O65</x:f>
      </x:c>
      <x:c r="F65" s="16" t="str">
        <x:f>IF(AND('73县体检'!P65&lt;&gt;"",'73县体检'!Q65&lt;&gt;""),"已补","缺")</x:f>
        <x:v>缺</x:v>
      </x:c>
      <x:c r="G65" s="16" t="str">
        <x:f>IF('73县体检'!R65&lt;&gt;"","已补","缺")</x:f>
        <x:v>缺</x:v>
      </x:c>
      <x:c r="H65" s="16" t="str">
        <x:v>县统计公报/政府工作报告→统计年鉴→市级年鉴</x:v>
      </x:c>
    </x:row>
    <x:row r="66">
      <x:c r="A66" s="16" t="str">
        <x:v>玉山县</x:v>
      </x:c>
      <x:c r="B66" s="16" t="str">
        <x:v>上饶市</x:v>
      </x:c>
      <x:c r="C66" s="16" t="str">
        <x:f>'73县体检'!J66</x:f>
      </x:c>
      <x:c r="D66" s="16" t="str">
        <x:f>'73县体检'!M66</x:f>
      </x:c>
      <x:c r="E66" s="16" t="str">
        <x:f>'73县体检'!O66</x:f>
      </x:c>
      <x:c r="F66" s="16" t="str">
        <x:f>IF(AND('73县体检'!P66&lt;&gt;"",'73县体检'!Q66&lt;&gt;""),"已补","缺")</x:f>
        <x:v>缺</x:v>
      </x:c>
      <x:c r="G66" s="16" t="str">
        <x:f>IF('73县体检'!R66&lt;&gt;"","已补","缺")</x:f>
        <x:v>缺</x:v>
      </x:c>
      <x:c r="H66" s="16" t="str">
        <x:v>县统计公报/政府工作报告→统计年鉴→市级年鉴</x:v>
      </x:c>
    </x:row>
    <x:row r="67">
      <x:c r="A67" s="16" t="str">
        <x:v>铅山县</x:v>
      </x:c>
      <x:c r="B67" s="16" t="str">
        <x:v>上饶市</x:v>
      </x:c>
      <x:c r="C67" s="16" t="str">
        <x:f>'73县体检'!J67</x:f>
      </x:c>
      <x:c r="D67" s="16" t="str">
        <x:f>'73县体检'!M67</x:f>
      </x:c>
      <x:c r="E67" s="16" t="str">
        <x:f>'73县体检'!O67</x:f>
      </x:c>
      <x:c r="F67" s="16" t="str">
        <x:f>IF(AND('73县体检'!P67&lt;&gt;"",'73县体检'!Q67&lt;&gt;""),"已补","缺")</x:f>
        <x:v>缺</x:v>
      </x:c>
      <x:c r="G67" s="16" t="str">
        <x:f>IF('73县体检'!R67&lt;&gt;"","已补","缺")</x:f>
        <x:v>缺</x:v>
      </x:c>
      <x:c r="H67" s="16" t="str">
        <x:v>县统计公报/政府工作报告→统计年鉴→市级年鉴</x:v>
      </x:c>
    </x:row>
    <x:row r="68">
      <x:c r="A68" s="16" t="str">
        <x:v>横峰县</x:v>
      </x:c>
      <x:c r="B68" s="16" t="str">
        <x:v>上饶市</x:v>
      </x:c>
      <x:c r="C68" s="16" t="str">
        <x:f>'73县体检'!J68</x:f>
      </x:c>
      <x:c r="D68" s="16" t="str">
        <x:f>'73县体检'!M68</x:f>
      </x:c>
      <x:c r="E68" s="16" t="str">
        <x:f>'73县体检'!O68</x:f>
      </x:c>
      <x:c r="F68" s="16" t="str">
        <x:f>IF(AND('73县体检'!P68&lt;&gt;"",'73县体检'!Q68&lt;&gt;""),"已补","缺")</x:f>
        <x:v>缺</x:v>
      </x:c>
      <x:c r="G68" s="16" t="str">
        <x:f>IF('73县体检'!R68&lt;&gt;"","已补","缺")</x:f>
        <x:v>缺</x:v>
      </x:c>
      <x:c r="H68" s="16" t="str">
        <x:v>县统计公报/政府工作报告→统计年鉴→市级年鉴</x:v>
      </x:c>
    </x:row>
    <x:row r="69">
      <x:c r="A69" s="16" t="str">
        <x:v>弋阳县</x:v>
      </x:c>
      <x:c r="B69" s="16" t="str">
        <x:v>上饶市</x:v>
      </x:c>
      <x:c r="C69" s="16" t="str">
        <x:f>'73县体检'!J69</x:f>
      </x:c>
      <x:c r="D69" s="16" t="str">
        <x:f>'73县体检'!M69</x:f>
      </x:c>
      <x:c r="E69" s="16" t="str">
        <x:f>'73县体检'!O69</x:f>
      </x:c>
      <x:c r="F69" s="16" t="str">
        <x:f>IF(AND('73县体检'!P69&lt;&gt;"",'73县体检'!Q69&lt;&gt;""),"已补","缺")</x:f>
        <x:v>缺</x:v>
      </x:c>
      <x:c r="G69" s="16" t="str">
        <x:f>IF('73县体检'!R69&lt;&gt;"","已补","缺")</x:f>
        <x:v>缺</x:v>
      </x:c>
      <x:c r="H69" s="16" t="str">
        <x:v>县统计公报/政府工作报告→统计年鉴→市级年鉴</x:v>
      </x:c>
    </x:row>
    <x:row r="70">
      <x:c r="A70" s="16" t="str">
        <x:v>余干县</x:v>
      </x:c>
      <x:c r="B70" s="16" t="str">
        <x:v>上饶市</x:v>
      </x:c>
      <x:c r="C70" s="16" t="str">
        <x:f>'73县体检'!J70</x:f>
      </x:c>
      <x:c r="D70" s="16" t="str">
        <x:f>'73县体检'!M70</x:f>
      </x:c>
      <x:c r="E70" s="16" t="str">
        <x:f>'73县体检'!O70</x:f>
      </x:c>
      <x:c r="F70" s="16" t="str">
        <x:f>IF(AND('73县体检'!P70&lt;&gt;"",'73县体检'!Q70&lt;&gt;""),"已补","缺")</x:f>
        <x:v>缺</x:v>
      </x:c>
      <x:c r="G70" s="16" t="str">
        <x:f>IF('73县体检'!R70&lt;&gt;"","已补","缺")</x:f>
        <x:v>缺</x:v>
      </x:c>
      <x:c r="H70" s="16" t="str">
        <x:v>县统计公报/政府工作报告→统计年鉴→市级年鉴</x:v>
      </x:c>
    </x:row>
    <x:row r="71">
      <x:c r="A71" s="16" t="str">
        <x:v>鄱阳县</x:v>
      </x:c>
      <x:c r="B71" s="16" t="str">
        <x:v>上饶市</x:v>
      </x:c>
      <x:c r="C71" s="16" t="str">
        <x:f>'73县体检'!J71</x:f>
      </x:c>
      <x:c r="D71" s="16" t="str">
        <x:f>'73县体检'!M71</x:f>
      </x:c>
      <x:c r="E71" s="16" t="str">
        <x:f>'73县体检'!O71</x:f>
      </x:c>
      <x:c r="F71" s="16" t="str">
        <x:f>IF(AND('73县体检'!P71&lt;&gt;"",'73县体检'!Q71&lt;&gt;""),"已补","缺")</x:f>
        <x:v>缺</x:v>
      </x:c>
      <x:c r="G71" s="16" t="str">
        <x:f>IF('73县体检'!R71&lt;&gt;"","已补","缺")</x:f>
        <x:v>缺</x:v>
      </x:c>
      <x:c r="H71" s="16" t="str">
        <x:v>县统计公报/政府工作报告→统计年鉴→市级年鉴</x:v>
      </x:c>
    </x:row>
    <x:row r="72">
      <x:c r="A72" s="16" t="str">
        <x:v>万年县</x:v>
      </x:c>
      <x:c r="B72" s="16" t="str">
        <x:v>上饶市</x:v>
      </x:c>
      <x:c r="C72" s="16" t="str">
        <x:f>'73县体检'!J72</x:f>
      </x:c>
      <x:c r="D72" s="16" t="str">
        <x:f>'73县体检'!M72</x:f>
      </x:c>
      <x:c r="E72" s="16" t="str">
        <x:f>'73县体检'!O72</x:f>
      </x:c>
      <x:c r="F72" s="16" t="str">
        <x:f>IF(AND('73县体检'!P72&lt;&gt;"",'73县体检'!Q72&lt;&gt;""),"已补","缺")</x:f>
        <x:v>缺</x:v>
      </x:c>
      <x:c r="G72" s="16" t="str">
        <x:f>IF('73县体检'!R72&lt;&gt;"","已补","缺")</x:f>
        <x:v>缺</x:v>
      </x:c>
      <x:c r="H72" s="16" t="str">
        <x:v>县统计公报/政府工作报告→统计年鉴→市级年鉴</x:v>
      </x:c>
    </x:row>
    <x:row r="73">
      <x:c r="A73" s="16" t="str">
        <x:v>婺源县</x:v>
      </x:c>
      <x:c r="B73" s="16" t="str">
        <x:v>上饶市</x:v>
      </x:c>
      <x:c r="C73" s="16" t="str">
        <x:f>'73县体检'!J73</x:f>
      </x:c>
      <x:c r="D73" s="16" t="str">
        <x:f>'73县体检'!M73</x:f>
      </x:c>
      <x:c r="E73" s="16" t="str">
        <x:f>'73县体检'!O73</x:f>
      </x:c>
      <x:c r="F73" s="16" t="str">
        <x:f>IF(AND('73县体检'!P73&lt;&gt;"",'73县体检'!Q73&lt;&gt;""),"已补","缺")</x:f>
        <x:v>缺</x:v>
      </x:c>
      <x:c r="G73" s="16" t="str">
        <x:f>IF('73县体检'!R73&lt;&gt;"","已补","缺")</x:f>
        <x:v>缺</x:v>
      </x:c>
      <x:c r="H73" s="16" t="str">
        <x:v>县统计公报/政府工作报告→统计年鉴→市级年鉴</x:v>
      </x:c>
    </x:row>
    <x:row r="74">
      <x:c r="A74" s="16" t="str">
        <x:v>德兴市</x:v>
      </x:c>
      <x:c r="B74" s="16" t="str">
        <x:v>上饶市</x:v>
      </x:c>
      <x:c r="C74" s="16" t="n">
        <x:f>'73县体检'!J74</x:f>
        <x:v>0</x:v>
      </x:c>
      <x:c r="D74" s="16" t="n">
        <x:f>'73县体检'!M74</x:f>
        <x:v>0</x:v>
      </x:c>
      <x:c r="E74" s="16" t="n">
        <x:f>'73县体检'!O74</x:f>
        <x:v>0</x:v>
      </x:c>
      <x:c r="F74" s="16" t="str">
        <x:f>IF(AND('73县体检'!P74&lt;&gt;"",'73县体检'!Q74&lt;&gt;""),"已补","缺")</x:f>
        <x:v>缺</x:v>
      </x:c>
      <x:c r="G74" s="16" t="str">
        <x:f>IF('73县体检'!R74&lt;&gt;"","已补","缺")</x:f>
        <x:v>缺</x:v>
      </x:c>
      <x:c r="H74" s="16" t="str">
        <x:v>县统计公报/政府工作报告→统计年鉴→市级年鉴</x:v>
      </x:c>
    </x:row>
  </x:sheetData>
  <x:pageMargins left="0.7" right="0.7" top="0.75" bottom="0.75" header="0.3" footer="0.3"/>
  <x:tableParts count="1">
    <x:tablePart xmlns:r="http://schemas.openxmlformats.org/officeDocument/2006/relationships" r:id="R6f186b054f004742"/>
  </x:tableParts>
</x:worksheet>
</file>